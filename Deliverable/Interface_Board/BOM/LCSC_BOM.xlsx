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GrantKros-CoopMonitor\Deliverable\Interface_Board\BOM\"/>
    </mc:Choice>
  </mc:AlternateContent>
  <bookViews>
    <workbookView xWindow="0" yWindow="0" windowWidth="23325" windowHeight="9795"/>
  </bookViews>
  <sheets>
    <sheet name="LCSC_BOM" sheetId="1" r:id="rId1"/>
  </sheets>
  <definedNames>
    <definedName name="_xlnm.Print_Titles" localSheetId="0">LCSC_BOM!#REF!</definedName>
  </definedNames>
  <calcPr calcId="162913"/>
</workbook>
</file>

<file path=xl/calcChain.xml><?xml version="1.0" encoding="utf-8"?>
<calcChain xmlns="http://schemas.openxmlformats.org/spreadsheetml/2006/main">
  <c r="T73" i="1" l="1"/>
  <c r="N73" i="1"/>
  <c r="X73" i="1" s="1"/>
  <c r="M73" i="1"/>
  <c r="V73" i="1" s="1"/>
  <c r="V74" i="1" s="1"/>
  <c r="V75" i="1" s="1"/>
  <c r="V77" i="1" s="1"/>
  <c r="L73" i="1"/>
  <c r="N72" i="1"/>
  <c r="M72" i="1"/>
  <c r="L72" i="1"/>
  <c r="N71" i="1"/>
  <c r="M71" i="1"/>
  <c r="L71" i="1"/>
  <c r="N70" i="1"/>
  <c r="M70" i="1"/>
  <c r="L70" i="1"/>
  <c r="N69" i="1"/>
  <c r="M69" i="1"/>
  <c r="L69" i="1"/>
  <c r="X68" i="1"/>
  <c r="V68" i="1"/>
  <c r="T68" i="1"/>
  <c r="N68" i="1"/>
  <c r="M68" i="1"/>
  <c r="L68" i="1"/>
  <c r="X67" i="1"/>
  <c r="V67" i="1"/>
  <c r="T67" i="1"/>
  <c r="N67" i="1"/>
  <c r="M67" i="1"/>
  <c r="L67" i="1"/>
  <c r="X66" i="1"/>
  <c r="V66" i="1"/>
  <c r="T66" i="1"/>
  <c r="N66" i="1"/>
  <c r="M66" i="1"/>
  <c r="L66" i="1"/>
  <c r="X65" i="1"/>
  <c r="V65" i="1"/>
  <c r="T65" i="1"/>
  <c r="N65" i="1"/>
  <c r="M65" i="1"/>
  <c r="L65" i="1"/>
  <c r="X64" i="1"/>
  <c r="V64" i="1"/>
  <c r="T64" i="1"/>
  <c r="N64" i="1"/>
  <c r="M64" i="1"/>
  <c r="L64" i="1"/>
  <c r="X63" i="1"/>
  <c r="V63" i="1"/>
  <c r="T63" i="1"/>
  <c r="N63" i="1"/>
  <c r="M63" i="1"/>
  <c r="L63" i="1"/>
  <c r="X62" i="1"/>
  <c r="V62" i="1"/>
  <c r="T62" i="1"/>
  <c r="N62" i="1"/>
  <c r="M62" i="1"/>
  <c r="L62" i="1"/>
  <c r="X61" i="1"/>
  <c r="V61" i="1"/>
  <c r="T61" i="1"/>
  <c r="N61" i="1"/>
  <c r="M61" i="1"/>
  <c r="L61" i="1"/>
  <c r="X60" i="1"/>
  <c r="V60" i="1"/>
  <c r="T60" i="1"/>
  <c r="N60" i="1"/>
  <c r="M60" i="1"/>
  <c r="L60" i="1"/>
  <c r="X59" i="1"/>
  <c r="V59" i="1"/>
  <c r="T59" i="1"/>
  <c r="N59" i="1"/>
  <c r="M59" i="1"/>
  <c r="L59" i="1"/>
  <c r="X58" i="1"/>
  <c r="V58" i="1"/>
  <c r="T58" i="1"/>
  <c r="N58" i="1"/>
  <c r="M58" i="1"/>
  <c r="L58" i="1"/>
  <c r="X57" i="1"/>
  <c r="V57" i="1"/>
  <c r="T57" i="1"/>
  <c r="N57" i="1"/>
  <c r="M57" i="1"/>
  <c r="L57" i="1"/>
  <c r="X56" i="1"/>
  <c r="V56" i="1"/>
  <c r="T56" i="1"/>
  <c r="N56" i="1"/>
  <c r="M56" i="1"/>
  <c r="L56" i="1"/>
  <c r="X55" i="1"/>
  <c r="V55" i="1"/>
  <c r="T55" i="1"/>
  <c r="N55" i="1"/>
  <c r="M55" i="1"/>
  <c r="L55" i="1"/>
  <c r="X54" i="1"/>
  <c r="V54" i="1"/>
  <c r="T54" i="1"/>
  <c r="N54" i="1"/>
  <c r="M54" i="1"/>
  <c r="L54" i="1"/>
  <c r="X53" i="1"/>
  <c r="V53" i="1"/>
  <c r="T53" i="1"/>
  <c r="N53" i="1"/>
  <c r="M53" i="1"/>
  <c r="L53" i="1"/>
  <c r="X52" i="1"/>
  <c r="V52" i="1"/>
  <c r="T52" i="1"/>
  <c r="N52" i="1"/>
  <c r="M52" i="1"/>
  <c r="L52" i="1"/>
  <c r="X51" i="1"/>
  <c r="V51" i="1"/>
  <c r="T51" i="1"/>
  <c r="N51" i="1"/>
  <c r="M51" i="1"/>
  <c r="L51" i="1"/>
  <c r="X50" i="1"/>
  <c r="V50" i="1"/>
  <c r="T50" i="1"/>
  <c r="N50" i="1"/>
  <c r="M50" i="1"/>
  <c r="L50" i="1"/>
  <c r="X49" i="1"/>
  <c r="V49" i="1"/>
  <c r="T49" i="1"/>
  <c r="N49" i="1"/>
  <c r="M49" i="1"/>
  <c r="L49" i="1"/>
  <c r="X48" i="1"/>
  <c r="V48" i="1"/>
  <c r="T48" i="1"/>
  <c r="N48" i="1"/>
  <c r="M48" i="1"/>
  <c r="L48" i="1"/>
  <c r="X47" i="1"/>
  <c r="V47" i="1"/>
  <c r="T47" i="1"/>
  <c r="N47" i="1"/>
  <c r="M47" i="1"/>
  <c r="L47" i="1"/>
  <c r="X46" i="1"/>
  <c r="V46" i="1"/>
  <c r="T46" i="1"/>
  <c r="N46" i="1"/>
  <c r="M46" i="1"/>
  <c r="L46" i="1"/>
  <c r="X45" i="1"/>
  <c r="V45" i="1"/>
  <c r="T45" i="1"/>
  <c r="N45" i="1"/>
  <c r="M45" i="1"/>
  <c r="L45" i="1"/>
  <c r="X44" i="1"/>
  <c r="V44" i="1"/>
  <c r="T44" i="1"/>
  <c r="N44" i="1"/>
  <c r="M44" i="1"/>
  <c r="L44" i="1"/>
  <c r="X43" i="1"/>
  <c r="V43" i="1"/>
  <c r="T43" i="1"/>
  <c r="N43" i="1"/>
  <c r="M43" i="1"/>
  <c r="L43" i="1"/>
  <c r="X42" i="1"/>
  <c r="V42" i="1"/>
  <c r="T42" i="1"/>
  <c r="N42" i="1"/>
  <c r="M42" i="1"/>
  <c r="L42" i="1"/>
  <c r="X41" i="1"/>
  <c r="V41" i="1"/>
  <c r="T41" i="1"/>
  <c r="N41" i="1"/>
  <c r="M41" i="1"/>
  <c r="L41" i="1"/>
  <c r="X40" i="1"/>
  <c r="V40" i="1"/>
  <c r="T40" i="1"/>
  <c r="N40" i="1"/>
  <c r="M40" i="1"/>
  <c r="L40" i="1"/>
  <c r="X39" i="1"/>
  <c r="V39" i="1"/>
  <c r="T39" i="1"/>
  <c r="N39" i="1"/>
  <c r="M39" i="1"/>
  <c r="L39" i="1"/>
  <c r="X38" i="1"/>
  <c r="V38" i="1"/>
  <c r="T38" i="1"/>
  <c r="N38" i="1"/>
  <c r="M38" i="1"/>
  <c r="L38" i="1"/>
  <c r="X37" i="1"/>
  <c r="V37" i="1"/>
  <c r="T37" i="1"/>
  <c r="N37" i="1"/>
  <c r="M37" i="1"/>
  <c r="L37" i="1"/>
  <c r="X36" i="1"/>
  <c r="V36" i="1"/>
  <c r="T36" i="1"/>
  <c r="N36" i="1"/>
  <c r="M36" i="1"/>
  <c r="L36" i="1"/>
  <c r="X35" i="1"/>
  <c r="V35" i="1"/>
  <c r="T35" i="1"/>
  <c r="N35" i="1"/>
  <c r="M35" i="1"/>
  <c r="L35" i="1"/>
  <c r="X34" i="1"/>
  <c r="V34" i="1"/>
  <c r="T34" i="1"/>
  <c r="N34" i="1"/>
  <c r="M34" i="1"/>
  <c r="L34" i="1"/>
  <c r="X33" i="1"/>
  <c r="V33" i="1"/>
  <c r="T33" i="1"/>
  <c r="N33" i="1"/>
  <c r="M33" i="1"/>
  <c r="L33" i="1"/>
  <c r="X32" i="1"/>
  <c r="V32" i="1"/>
  <c r="T32" i="1"/>
  <c r="N32" i="1"/>
  <c r="M32" i="1"/>
  <c r="L32" i="1"/>
  <c r="X31" i="1"/>
  <c r="V31" i="1"/>
  <c r="T31" i="1"/>
  <c r="N31" i="1"/>
  <c r="M31" i="1"/>
  <c r="L31" i="1"/>
  <c r="X30" i="1"/>
  <c r="V30" i="1"/>
  <c r="T30" i="1"/>
  <c r="N30" i="1"/>
  <c r="M30" i="1"/>
  <c r="L30" i="1"/>
  <c r="X29" i="1"/>
  <c r="V29" i="1"/>
  <c r="T29" i="1"/>
  <c r="N29" i="1"/>
  <c r="M29" i="1"/>
  <c r="L29" i="1"/>
  <c r="X28" i="1"/>
  <c r="V28" i="1"/>
  <c r="T28" i="1"/>
  <c r="N28" i="1"/>
  <c r="M28" i="1"/>
  <c r="L28" i="1"/>
  <c r="X27" i="1"/>
  <c r="V27" i="1"/>
  <c r="T27" i="1"/>
  <c r="N27" i="1"/>
  <c r="M27" i="1"/>
  <c r="L27" i="1"/>
  <c r="X26" i="1"/>
  <c r="V26" i="1"/>
  <c r="T26" i="1"/>
  <c r="N26" i="1"/>
  <c r="M26" i="1"/>
  <c r="L26" i="1"/>
  <c r="X25" i="1"/>
  <c r="V25" i="1"/>
  <c r="T25" i="1"/>
  <c r="N25" i="1"/>
  <c r="M25" i="1"/>
  <c r="L25" i="1"/>
  <c r="X24" i="1"/>
  <c r="V24" i="1"/>
  <c r="T24" i="1"/>
  <c r="N24" i="1"/>
  <c r="M24" i="1"/>
  <c r="L24" i="1"/>
  <c r="X23" i="1"/>
  <c r="V23" i="1"/>
  <c r="T23" i="1"/>
  <c r="N23" i="1"/>
  <c r="M23" i="1"/>
  <c r="L23" i="1"/>
  <c r="X22" i="1"/>
  <c r="V22" i="1"/>
  <c r="T22" i="1"/>
  <c r="N22" i="1"/>
  <c r="M22" i="1"/>
  <c r="L22" i="1"/>
  <c r="X21" i="1"/>
  <c r="V21" i="1"/>
  <c r="T21" i="1"/>
  <c r="N21" i="1"/>
  <c r="M21" i="1"/>
  <c r="L21" i="1"/>
  <c r="X20" i="1"/>
  <c r="V20" i="1"/>
  <c r="T20" i="1"/>
  <c r="N20" i="1"/>
  <c r="M20" i="1"/>
  <c r="L20" i="1"/>
  <c r="X19" i="1"/>
  <c r="V19" i="1"/>
  <c r="T19" i="1"/>
  <c r="N19" i="1"/>
  <c r="M19" i="1"/>
  <c r="L19" i="1"/>
  <c r="X18" i="1"/>
  <c r="V18" i="1"/>
  <c r="T18" i="1"/>
  <c r="N18" i="1"/>
  <c r="M18" i="1"/>
  <c r="L18" i="1"/>
  <c r="X17" i="1"/>
  <c r="V17" i="1"/>
  <c r="T17" i="1"/>
  <c r="N17" i="1"/>
  <c r="M17" i="1"/>
  <c r="L17" i="1"/>
  <c r="X16" i="1"/>
  <c r="V16" i="1"/>
  <c r="T16" i="1"/>
  <c r="N16" i="1"/>
  <c r="M16" i="1"/>
  <c r="L16" i="1"/>
  <c r="X15" i="1"/>
  <c r="V15" i="1"/>
  <c r="T15" i="1"/>
  <c r="N15" i="1"/>
  <c r="M15" i="1"/>
  <c r="L15" i="1"/>
  <c r="X14" i="1"/>
  <c r="V14" i="1"/>
  <c r="T14" i="1"/>
  <c r="N14" i="1"/>
  <c r="M14" i="1"/>
  <c r="L14" i="1"/>
  <c r="X13" i="1"/>
  <c r="V13" i="1"/>
  <c r="T13" i="1"/>
  <c r="N13" i="1"/>
  <c r="M13" i="1"/>
  <c r="L13" i="1"/>
  <c r="X12" i="1"/>
  <c r="V12" i="1"/>
  <c r="T12" i="1"/>
  <c r="N12" i="1"/>
  <c r="M12" i="1"/>
  <c r="L12" i="1"/>
  <c r="X11" i="1"/>
  <c r="V11" i="1"/>
  <c r="T11" i="1"/>
  <c r="N11" i="1"/>
  <c r="M11" i="1"/>
  <c r="L11" i="1"/>
  <c r="X10" i="1"/>
  <c r="V10" i="1"/>
  <c r="T10" i="1"/>
  <c r="N10" i="1"/>
  <c r="M10" i="1"/>
  <c r="L10" i="1"/>
  <c r="X9" i="1"/>
  <c r="V9" i="1"/>
  <c r="T9" i="1"/>
  <c r="N9" i="1"/>
  <c r="M9" i="1"/>
  <c r="L9" i="1"/>
  <c r="X8" i="1"/>
  <c r="V8" i="1"/>
  <c r="T8" i="1"/>
  <c r="N8" i="1"/>
  <c r="M8" i="1"/>
  <c r="L8" i="1"/>
  <c r="X7" i="1"/>
  <c r="V7" i="1"/>
  <c r="T7" i="1"/>
  <c r="N7" i="1"/>
  <c r="M7" i="1"/>
  <c r="L7" i="1"/>
  <c r="X6" i="1"/>
  <c r="V6" i="1"/>
  <c r="T6" i="1"/>
  <c r="N6" i="1"/>
  <c r="M6" i="1"/>
  <c r="L6" i="1"/>
  <c r="X5" i="1"/>
  <c r="V5" i="1"/>
  <c r="T5" i="1"/>
  <c r="N5" i="1"/>
  <c r="M5" i="1"/>
  <c r="L5" i="1"/>
  <c r="X4" i="1"/>
  <c r="V4" i="1"/>
  <c r="T4" i="1"/>
  <c r="N4" i="1"/>
  <c r="M4" i="1"/>
  <c r="L4" i="1"/>
  <c r="X3" i="1"/>
  <c r="X74" i="1" s="1"/>
  <c r="X75" i="1" s="1"/>
  <c r="X77" i="1" s="1"/>
  <c r="V3" i="1"/>
  <c r="T3" i="1"/>
  <c r="T74" i="1" s="1"/>
  <c r="T75" i="1" s="1"/>
  <c r="T77" i="1" s="1"/>
  <c r="N3" i="1"/>
  <c r="M3" i="1"/>
  <c r="L3" i="1"/>
</calcChain>
</file>

<file path=xl/sharedStrings.xml><?xml version="1.0" encoding="utf-8"?>
<sst xmlns="http://schemas.openxmlformats.org/spreadsheetml/2006/main" count="702" uniqueCount="440">
  <si>
    <t>Bill of Material (BOM) for Grant</t>
  </si>
  <si>
    <t>S. No.</t>
  </si>
  <si>
    <t>Comment Type</t>
  </si>
  <si>
    <t>Description</t>
  </si>
  <si>
    <t>Designator</t>
  </si>
  <si>
    <t>Footprint (Package)</t>
  </si>
  <si>
    <t>Manufacturer Part Number</t>
  </si>
  <si>
    <t>Manufacturer</t>
  </si>
  <si>
    <t>LCSC Part Number</t>
  </si>
  <si>
    <t>Alternate</t>
  </si>
  <si>
    <t>Value</t>
  </si>
  <si>
    <t>Unit Quantity</t>
  </si>
  <si>
    <t>Quantity(5)</t>
  </si>
  <si>
    <t>Quantity(50)</t>
  </si>
  <si>
    <t>Quantity(100)</t>
  </si>
  <si>
    <t>MOQ(5)</t>
  </si>
  <si>
    <t>MOQ(50)</t>
  </si>
  <si>
    <t>MOQ(100)</t>
  </si>
  <si>
    <t>Link</t>
  </si>
  <si>
    <t>Unit Price(5)</t>
  </si>
  <si>
    <t xml:space="preserve">Total Price </t>
  </si>
  <si>
    <t>Unit Price(50)</t>
  </si>
  <si>
    <t>Unit Price(100)</t>
  </si>
  <si>
    <t>Remarks</t>
  </si>
  <si>
    <t>Capacitor</t>
  </si>
  <si>
    <t>CAP ALUM 6.8UF 20% 25V SMD</t>
  </si>
  <si>
    <t>C1</t>
  </si>
  <si>
    <t>Custom</t>
  </si>
  <si>
    <t>EEEHB1E6R8R</t>
  </si>
  <si>
    <t>Panasonic</t>
  </si>
  <si>
    <t>C336258</t>
  </si>
  <si>
    <t>--------</t>
  </si>
  <si>
    <t>6.8uF</t>
  </si>
  <si>
    <t>LCSC</t>
  </si>
  <si>
    <t>CAP ALUM 10uF 25V SMD</t>
  </si>
  <si>
    <t>C2</t>
  </si>
  <si>
    <t>RVT1E100M0405</t>
  </si>
  <si>
    <t>ROQANG</t>
  </si>
  <si>
    <t>C72484</t>
  </si>
  <si>
    <t>10uF</t>
  </si>
  <si>
    <t xml:space="preserve">CAP CER 0.1UF 50V X7R 0402
</t>
  </si>
  <si>
    <t>C6, C10, C11, C12, C13, C14, C15, C18, C21, C24, C29, C30, CF2,C22, C25, C27, C35</t>
  </si>
  <si>
    <t>Cap 0402</t>
  </si>
  <si>
    <t>CC0402KRX7R7BB104</t>
  </si>
  <si>
    <t>Yageo</t>
  </si>
  <si>
    <t>C361198</t>
  </si>
  <si>
    <t>C1005X7R1H104KT000F</t>
  </si>
  <si>
    <t>0.1uF</t>
  </si>
  <si>
    <t>Ye part change kia ha voltage rating ki waja se design me 16V ka part use ho raha ha or 'C22, C25, C27, C35 ye designator merge kiye han humne iska footprint 0603 ha ye design me b change krne han hume</t>
  </si>
  <si>
    <t>CAP CER 22UF 25V X5R 0805</t>
  </si>
  <si>
    <t>C7, CE1</t>
  </si>
  <si>
    <t>Cap0805</t>
  </si>
  <si>
    <t>GRM21BR61E226ME44L</t>
  </si>
  <si>
    <t>Murata</t>
  </si>
  <si>
    <t>C86816</t>
  </si>
  <si>
    <t>22uF</t>
  </si>
  <si>
    <t>1uF 10V ±20% 0805 Tantalum Capacitors ROHS</t>
  </si>
  <si>
    <t>C8, C19</t>
  </si>
  <si>
    <t>TCP1A105M8R</t>
  </si>
  <si>
    <t>ROHM</t>
  </si>
  <si>
    <t>C1952948</t>
  </si>
  <si>
    <t>1UF</t>
  </si>
  <si>
    <t>CAP CER 25PF 50V C0G/NPO 0603</t>
  </si>
  <si>
    <t>C9</t>
  </si>
  <si>
    <t>Cap 0603</t>
  </si>
  <si>
    <t>CC0603JRNPO9BN250</t>
  </si>
  <si>
    <t>YAGEO</t>
  </si>
  <si>
    <t>C282067</t>
  </si>
  <si>
    <t>25pF</t>
  </si>
  <si>
    <t>CAP CER 20PF 25V C0H 0201</t>
  </si>
  <si>
    <t>C16, C17, CX1, CX2</t>
  </si>
  <si>
    <t>Cap 0201</t>
  </si>
  <si>
    <t>GJM0336C1E200JB01D</t>
  </si>
  <si>
    <t>C426116</t>
  </si>
  <si>
    <t>GJM0335C1E200GB01D</t>
  </si>
  <si>
    <t>20pF</t>
  </si>
  <si>
    <t>CAP CER 0.022UF 100V X7R 0603</t>
  </si>
  <si>
    <t>C20</t>
  </si>
  <si>
    <t>CGA3E2X7R2A223K080AA</t>
  </si>
  <si>
    <t>TDK</t>
  </si>
  <si>
    <t>C313105</t>
  </si>
  <si>
    <t>CC0603KRX7R0BB223</t>
  </si>
  <si>
    <t>22nF</t>
  </si>
  <si>
    <t>CAP TANT 4.7UF 10% 35V 1411</t>
  </si>
  <si>
    <t>C23</t>
  </si>
  <si>
    <t>Cap 1411</t>
  </si>
  <si>
    <t>TAJB475K035RNJ</t>
  </si>
  <si>
    <t>Kyocera AVX</t>
  </si>
  <si>
    <t>C7206</t>
  </si>
  <si>
    <t>4.7UF</t>
  </si>
  <si>
    <t>CAP ALUM 100UF 20% 25V SMD</t>
  </si>
  <si>
    <t>C26</t>
  </si>
  <si>
    <t>UWX1E101MCL1GB</t>
  </si>
  <si>
    <t>Nichicon</t>
  </si>
  <si>
    <t>C134725</t>
  </si>
  <si>
    <t>VE-101M1ETR-0806</t>
  </si>
  <si>
    <t>100uF</t>
  </si>
  <si>
    <t>footprint is slightly different</t>
  </si>
  <si>
    <t>CAP CER 1UF 25V X5R 0402</t>
  </si>
  <si>
    <t>C28, C32</t>
  </si>
  <si>
    <t>GRM155R61E105KA12D</t>
  </si>
  <si>
    <t>C77009</t>
  </si>
  <si>
    <t>1uF</t>
  </si>
  <si>
    <t>CAP CER 4.7UF 25V X5R 0603</t>
  </si>
  <si>
    <t>C31, C34</t>
  </si>
  <si>
    <t>CL10A475KA8NQNC</t>
  </si>
  <si>
    <t>Samsung</t>
  </si>
  <si>
    <t>C69335</t>
  </si>
  <si>
    <t>4.7uF</t>
  </si>
  <si>
    <t>CAP CER 2.2UF 16V X5R 0402</t>
  </si>
  <si>
    <t>C33, CR1</t>
  </si>
  <si>
    <t>EMK105ABJ225KV-F</t>
  </si>
  <si>
    <t>Taiyo Yuden</t>
  </si>
  <si>
    <t>C385887</t>
  </si>
  <si>
    <t>2.2uF</t>
  </si>
  <si>
    <t>CAP TANT 0.33 uF 20 V ±20% 0402</t>
  </si>
  <si>
    <t>C50</t>
  </si>
  <si>
    <t>TCTU1D334M8R</t>
  </si>
  <si>
    <t>Rohm</t>
  </si>
  <si>
    <t>C209647</t>
  </si>
  <si>
    <t>330nF</t>
  </si>
  <si>
    <t>CAP CER 220PF 50V C0G/NPO 0402</t>
  </si>
  <si>
    <t>CF1</t>
  </si>
  <si>
    <t>CC0402JRNPO9BN221</t>
  </si>
  <si>
    <t>C107001</t>
  </si>
  <si>
    <t>220pF</t>
  </si>
  <si>
    <t>Diode</t>
  </si>
  <si>
    <t>DIODE SCHOTTKY 30V 2A PMDU</t>
  </si>
  <si>
    <t>D2</t>
  </si>
  <si>
    <t>SOD123F</t>
  </si>
  <si>
    <t>RB060M-30TR</t>
  </si>
  <si>
    <t>Rohm Semiconductor</t>
  </si>
  <si>
    <t>C559324</t>
  </si>
  <si>
    <t>----</t>
  </si>
  <si>
    <t>DIODE SCHOTTKY 30V 1A SOD123W</t>
  </si>
  <si>
    <t>D1, D3</t>
  </si>
  <si>
    <t>SOD123W</t>
  </si>
  <si>
    <t>PMEG3010ER,115</t>
  </si>
  <si>
    <t>Nexperia</t>
  </si>
  <si>
    <t>C146292</t>
  </si>
  <si>
    <t>CRS01(TE85L,Q,M)</t>
  </si>
  <si>
    <t>footprint is  different</t>
  </si>
  <si>
    <t xml:space="preserve">LED
</t>
  </si>
  <si>
    <t>Red 625nm 0402 Light Emitting Diodes (LED) RoHS</t>
  </si>
  <si>
    <t>LED1, LED2</t>
  </si>
  <si>
    <t>LED 0402</t>
  </si>
  <si>
    <t>TJ-S1005SW4TGLC2R-A5</t>
  </si>
  <si>
    <t>TOGIALED</t>
  </si>
  <si>
    <t>C273598</t>
  </si>
  <si>
    <t>Mosfet</t>
  </si>
  <si>
    <t>20V 1.6A 500mW 115mΩ@4.5V,1.6A 1.5V@250μA P Channel SOT-23 MOSFETs ROHS</t>
  </si>
  <si>
    <t>Q1</t>
  </si>
  <si>
    <t>SOT23-3</t>
  </si>
  <si>
    <t>FDN338P</t>
  </si>
  <si>
    <t>UMW</t>
  </si>
  <si>
    <t>C347511</t>
  </si>
  <si>
    <t>MOSFET P-CH 20V 2.8A SOT-23</t>
  </si>
  <si>
    <t>Q2</t>
  </si>
  <si>
    <t>PMV65XP,215</t>
  </si>
  <si>
    <t>C75561</t>
  </si>
  <si>
    <t>MOSFET N-CH 100V .1A SOT23-3</t>
  </si>
  <si>
    <t>Q3</t>
  </si>
  <si>
    <t>ZVN3310FTA</t>
  </si>
  <si>
    <t>Diodes Zetex</t>
  </si>
  <si>
    <t>C110533</t>
  </si>
  <si>
    <t>SOT-23 MOSFETs ROHS</t>
  </si>
  <si>
    <t>Q4</t>
  </si>
  <si>
    <t>FDN335N</t>
  </si>
  <si>
    <t>C347512</t>
  </si>
  <si>
    <t>TRANS PNP 60V 3A SOT223</t>
  </si>
  <si>
    <t>QF1</t>
  </si>
  <si>
    <t>SOT223</t>
  </si>
  <si>
    <t>NZT660A</t>
  </si>
  <si>
    <t>ON Semiconductor / Fairchild</t>
  </si>
  <si>
    <t>Utsource</t>
  </si>
  <si>
    <t>Switch</t>
  </si>
  <si>
    <t>SPDT 5A 120V On-On DIP Toggle Switches RoHS</t>
  </si>
  <si>
    <t>S1</t>
  </si>
  <si>
    <t>SS-12D11L5</t>
  </si>
  <si>
    <t>XKB Enterprise</t>
  </si>
  <si>
    <t>C319010</t>
  </si>
  <si>
    <t>SWITCH TACTILE SPST-NO 0.05A 12V</t>
  </si>
  <si>
    <t>SW1</t>
  </si>
  <si>
    <t>B3U-1000P</t>
  </si>
  <si>
    <t>Omron</t>
  </si>
  <si>
    <t>C231329</t>
  </si>
  <si>
    <t>Inductor</t>
  </si>
  <si>
    <t>10uH ±20% 1.6A 230mΩ SMD,4.75x4.2x2mm Inductors (SMD) RoHS</t>
  </si>
  <si>
    <t>LZ1</t>
  </si>
  <si>
    <t>MS0420-100M</t>
  </si>
  <si>
    <t>COILMX</t>
  </si>
  <si>
    <t>C380158</t>
  </si>
  <si>
    <t>Crystal</t>
  </si>
  <si>
    <t>CRYSTAL 32.7680KHZ 12.5PF SMD</t>
  </si>
  <si>
    <t>X1, X2</t>
  </si>
  <si>
    <t>NX3215SA-32.768K-STD-MUA-8</t>
  </si>
  <si>
    <t>NDK</t>
  </si>
  <si>
    <t>winsource</t>
  </si>
  <si>
    <t>Resistor</t>
  </si>
  <si>
    <t>470 ±5% 1/16W ±100ppm/°C 0402 Chip Resistor - Surface Mount RoHS</t>
  </si>
  <si>
    <t>R1</t>
  </si>
  <si>
    <t>Res0402</t>
  </si>
  <si>
    <t>RTT02471JTH</t>
  </si>
  <si>
    <t>RALEC</t>
  </si>
  <si>
    <t>C103058</t>
  </si>
  <si>
    <t>470R</t>
  </si>
  <si>
    <t>RES SMD 1.5K OHM 1% 1/20W 0201</t>
  </si>
  <si>
    <t>R2</t>
  </si>
  <si>
    <t>Res-0201</t>
  </si>
  <si>
    <t>RMCF0201FT1K50</t>
  </si>
  <si>
    <t>Stackpole Electronics</t>
  </si>
  <si>
    <t>C100153</t>
  </si>
  <si>
    <t>CR0201JH0152G</t>
  </si>
  <si>
    <t>1.5K</t>
  </si>
  <si>
    <t>RES SMD 20K OHM 5% 1/16W 0402</t>
  </si>
  <si>
    <t>R3, R4, R8, R9, R10, R20, RP2</t>
  </si>
  <si>
    <t>RC0402JR-0720KL</t>
  </si>
  <si>
    <t>C137902</t>
  </si>
  <si>
    <t>20K</t>
  </si>
  <si>
    <t>RES SMD 2K OHM 1% 1/16W 0402</t>
  </si>
  <si>
    <t>R5</t>
  </si>
  <si>
    <t>RC0402FR-072KL</t>
  </si>
  <si>
    <t>C60488</t>
  </si>
  <si>
    <t>2K</t>
  </si>
  <si>
    <t>RES SMD 80.6K OHM 1% 1/16W 0402</t>
  </si>
  <si>
    <t>R6</t>
  </si>
  <si>
    <t>AC0402FR-0780K6L</t>
  </si>
  <si>
    <t>C227238</t>
  </si>
  <si>
    <t>80.6K</t>
  </si>
  <si>
    <t>RES SMD 30.9K OHM 1% 1/16W 0402</t>
  </si>
  <si>
    <t>R7</t>
  </si>
  <si>
    <t>AC0402FR-0730K9L</t>
  </si>
  <si>
    <t>C226983</t>
  </si>
  <si>
    <t>30.9K</t>
  </si>
  <si>
    <t>RES 10K OHM 5% 1/10W 0402</t>
  </si>
  <si>
    <t>R11, R12, R15, R16, R17</t>
  </si>
  <si>
    <t>RK73B1ETTP103J</t>
  </si>
  <si>
    <t>KOA Speer</t>
  </si>
  <si>
    <t>C140214</t>
  </si>
  <si>
    <t>RC-02W103JT</t>
  </si>
  <si>
    <t>10K</t>
  </si>
  <si>
    <t>RES SMD 133K OHM 1% 1/16W 0402</t>
  </si>
  <si>
    <t>R13</t>
  </si>
  <si>
    <t>RC0402FR-07133KL</t>
  </si>
  <si>
    <t>C327374</t>
  </si>
  <si>
    <t>133K</t>
  </si>
  <si>
    <t>RES 49.9K OHM 1% 1/10W 0402</t>
  </si>
  <si>
    <t>R14</t>
  </si>
  <si>
    <t>RK73H1ETTP4992F</t>
  </si>
  <si>
    <t>C2692736</t>
  </si>
  <si>
    <t>PTFR0402B49K9P9</t>
  </si>
  <si>
    <t>49.9K</t>
  </si>
  <si>
    <t>RES SMD 0 OHM JUMPER 1/16W 0402</t>
  </si>
  <si>
    <t>RC0402JR-070RL</t>
  </si>
  <si>
    <t>C60485</t>
  </si>
  <si>
    <t>0R</t>
  </si>
  <si>
    <t>4.7K ±5% 1/16W ±200ppm/°C 0402 Chip Resistor - Surface Mount RoHS</t>
  </si>
  <si>
    <t>R21, R22, R27</t>
  </si>
  <si>
    <t>CR0402JF0472G</t>
  </si>
  <si>
    <t>LIZ Elec</t>
  </si>
  <si>
    <t>C100658</t>
  </si>
  <si>
    <t>4.7K</t>
  </si>
  <si>
    <r>
      <rPr>
        <sz val="10"/>
        <rFont val="Calibri"/>
        <charset val="134"/>
      </rPr>
      <t>±1% 1/10W Thick Film Resistors 75V ±100ppm/</t>
    </r>
    <r>
      <rPr>
        <sz val="10"/>
        <rFont val="Times New Roman"/>
        <charset val="134"/>
      </rPr>
      <t>℃</t>
    </r>
    <r>
      <rPr>
        <sz val="10"/>
        <rFont val="Calibri"/>
        <charset val="134"/>
      </rPr>
      <t xml:space="preserve"> -55</t>
    </r>
    <r>
      <rPr>
        <sz val="10"/>
        <rFont val="Times New Roman"/>
        <charset val="134"/>
      </rPr>
      <t>℃</t>
    </r>
    <r>
      <rPr>
        <sz val="10"/>
        <rFont val="Calibri"/>
        <charset val="134"/>
      </rPr>
      <t>~+155</t>
    </r>
    <r>
      <rPr>
        <sz val="10"/>
        <rFont val="Times New Roman"/>
        <charset val="134"/>
      </rPr>
      <t>℃</t>
    </r>
    <r>
      <rPr>
        <sz val="10"/>
        <rFont val="Calibri"/>
        <charset val="134"/>
      </rPr>
      <t xml:space="preserve"> 910kΩ 0603 Chip Resistor - Surface Mount ROHS</t>
    </r>
  </si>
  <si>
    <t>R23</t>
  </si>
  <si>
    <t>Res0603</t>
  </si>
  <si>
    <t>0603WAF9103T5E</t>
  </si>
  <si>
    <t>UNI-ROYAL</t>
  </si>
  <si>
    <t>C23263</t>
  </si>
  <si>
    <t>910K</t>
  </si>
  <si>
    <t>RES SMD 47K OHM 1% 1/16W 0402</t>
  </si>
  <si>
    <t>R24, R25, RZ1</t>
  </si>
  <si>
    <t>RC0402FR-0747KL</t>
  </si>
  <si>
    <t>C93943</t>
  </si>
  <si>
    <t>47K</t>
  </si>
  <si>
    <t>RES SMD 1K OHM 5% 1/10W 0402</t>
  </si>
  <si>
    <t>R26, RF2</t>
  </si>
  <si>
    <t>ERJ-2GEJ102X</t>
  </si>
  <si>
    <t>C2759467</t>
  </si>
  <si>
    <t>HP02WAJ0102TCE</t>
  </si>
  <si>
    <t>1K</t>
  </si>
  <si>
    <t>0.068 ±1% 1/4W ±800ppm/°C 0805 Chip Resistor - Surface Mount RoHS</t>
  </si>
  <si>
    <t>RF1</t>
  </si>
  <si>
    <t>RES 0805</t>
  </si>
  <si>
    <t>0805W4F680MT5E</t>
  </si>
  <si>
    <t>UNI-ROYAL(Uniroyal Elec)</t>
  </si>
  <si>
    <t>C270861</t>
  </si>
  <si>
    <t>CS05W4F680MT5E</t>
  </si>
  <si>
    <t>0.068R</t>
  </si>
  <si>
    <t>Temp coefficient is change</t>
  </si>
  <si>
    <t>RES SMD 1M OHM 1% 1/16W 0402</t>
  </si>
  <si>
    <t>RF3, RF4</t>
  </si>
  <si>
    <t>RC0402FR-071ML</t>
  </si>
  <si>
    <t>C138033</t>
  </si>
  <si>
    <t>1M</t>
  </si>
  <si>
    <t>RES SMD 118K OHM 1% 1/16W 0402</t>
  </si>
  <si>
    <t>RF5</t>
  </si>
  <si>
    <t>AC0402FR-07118KL</t>
  </si>
  <si>
    <t>C144804</t>
  </si>
  <si>
    <t>118K</t>
  </si>
  <si>
    <t>RES SMD 13.3K OHM 1% 1/16W 0402</t>
  </si>
  <si>
    <t>RF6</t>
  </si>
  <si>
    <t>RC0402FR-0713K3L</t>
  </si>
  <si>
    <t>C274352</t>
  </si>
  <si>
    <t>13.3K</t>
  </si>
  <si>
    <t>RES SMD 60.4K OHM 1% 1/16W 0402</t>
  </si>
  <si>
    <t>RP1</t>
  </si>
  <si>
    <t>RC0402FR-0760K4L</t>
  </si>
  <si>
    <t>C327333</t>
  </si>
  <si>
    <t>60.4K</t>
  </si>
  <si>
    <t>RES SMD 62K OHM 1% 1/16W 0402</t>
  </si>
  <si>
    <t>RP3</t>
  </si>
  <si>
    <t>AC0402FR-0762KL</t>
  </si>
  <si>
    <t>C144742</t>
  </si>
  <si>
    <t>62K</t>
  </si>
  <si>
    <t>40.2K ±1% 1/16W ±100ppm/°C 0402 Chip Resistor - Surface Mount RoHS</t>
  </si>
  <si>
    <t>RP4</t>
  </si>
  <si>
    <t>RTT024022FTH</t>
  </si>
  <si>
    <t>C103027</t>
  </si>
  <si>
    <t>40.2K</t>
  </si>
  <si>
    <t>ICs</t>
  </si>
  <si>
    <t>IC REG LDO 3.3V 1A SOT223</t>
  </si>
  <si>
    <t>U1</t>
  </si>
  <si>
    <t>SPX3940AM3-L-3-3/TR</t>
  </si>
  <si>
    <t>Exar</t>
  </si>
  <si>
    <t>C48252</t>
  </si>
  <si>
    <t>TVS DIODE 5V 6.8V 6UDFN</t>
  </si>
  <si>
    <t>U2</t>
  </si>
  <si>
    <t>6UDFN</t>
  </si>
  <si>
    <t>SP3014-02UTG</t>
  </si>
  <si>
    <t>Littelfuse</t>
  </si>
  <si>
    <t>in stock=1 at LCSC</t>
  </si>
  <si>
    <t>IC VREF SHUNT 18V 0.5% SOT23</t>
  </si>
  <si>
    <t>U3</t>
  </si>
  <si>
    <t>TLV431BFTA</t>
  </si>
  <si>
    <t>Aliexpress</t>
  </si>
  <si>
    <t>IC COMPARATOR LP DUAL 8-SOIC</t>
  </si>
  <si>
    <t>U4</t>
  </si>
  <si>
    <t>8-SOIC</t>
  </si>
  <si>
    <t>LM393DT</t>
  </si>
  <si>
    <t>STMicroelectronics</t>
  </si>
  <si>
    <t>C32901</t>
  </si>
  <si>
    <t>IC MCU 32BIT 256KB FLASH 48TQFP</t>
  </si>
  <si>
    <t>U5</t>
  </si>
  <si>
    <t>48TQFP</t>
  </si>
  <si>
    <t>SAMD21G18A-AUT</t>
  </si>
  <si>
    <t>Microchip</t>
  </si>
  <si>
    <t>Part not Available</t>
  </si>
  <si>
    <t>IC AMP CLASS AB MONO 1W 8SOIC</t>
  </si>
  <si>
    <t>U6</t>
  </si>
  <si>
    <t>SOIC-8</t>
  </si>
  <si>
    <t>LM4890MX/NOPB</t>
  </si>
  <si>
    <t>Texas Instruments</t>
  </si>
  <si>
    <t>C117476</t>
  </si>
  <si>
    <t>IC MOTOR DRIVER DC 5.5V 16HTSSOP</t>
  </si>
  <si>
    <t>U7</t>
  </si>
  <si>
    <t>16HTSSOP</t>
  </si>
  <si>
    <t>DRV8876PWPR</t>
  </si>
  <si>
    <t>IC RTC CLK/CALENDAR I2C 8-SOIC</t>
  </si>
  <si>
    <t>U8</t>
  </si>
  <si>
    <t>MCP7940N-I/SN</t>
  </si>
  <si>
    <t>C51106</t>
  </si>
  <si>
    <t>IC LI-ION LDO CHARGE MGMT 8SOIC</t>
  </si>
  <si>
    <t>UF1</t>
  </si>
  <si>
    <t>BQ2057WSNTR</t>
  </si>
  <si>
    <t>C32756</t>
  </si>
  <si>
    <t>IC REG BOOST ADJ 2A SOT23-5</t>
  </si>
  <si>
    <t>UF2</t>
  </si>
  <si>
    <t>SOT23-5</t>
  </si>
  <si>
    <t>LMR62014XMF/NOPB</t>
  </si>
  <si>
    <t>TI National Semiconductor</t>
  </si>
  <si>
    <t>C55182</t>
  </si>
  <si>
    <t>Connector</t>
  </si>
  <si>
    <t>FPC Connector 0.5mm pitch 24pin 30pin TOP&amp;bottom conduction Zif Smt Lcd/epaper Fpc Ffc Connector</t>
  </si>
  <si>
    <t>J1</t>
  </si>
  <si>
    <t>8.02A0.024200</t>
  </si>
  <si>
    <t>Alibaba</t>
  </si>
  <si>
    <t>DC Power Receptacle Jack 2.5A 2.5mm 6.5mm SMD Power Connectors RoHS</t>
  </si>
  <si>
    <t>J2</t>
  </si>
  <si>
    <t>DC-005-5A-2.5-SMT</t>
  </si>
  <si>
    <t>C319133</t>
  </si>
  <si>
    <t>USB - Micro B Female USB 2 5 SMD USB Connectors RoHS</t>
  </si>
  <si>
    <t>J3</t>
  </si>
  <si>
    <t xml:space="preserve">920-E52A2021S10100
</t>
  </si>
  <si>
    <t xml:space="preserve">Jing Extension of the Electronic </t>
  </si>
  <si>
    <t>C10418</t>
  </si>
  <si>
    <t>CONN HEADER SMD 10POS 1.27MM</t>
  </si>
  <si>
    <t>J4</t>
  </si>
  <si>
    <t>20021121-00010C4LF</t>
  </si>
  <si>
    <t>Amphenol FCI</t>
  </si>
  <si>
    <t>C150517</t>
  </si>
  <si>
    <t>SMD Battery Holders, Clips &amp; Contacts RoHS</t>
  </si>
  <si>
    <t>J6</t>
  </si>
  <si>
    <t>CR1220-2</t>
  </si>
  <si>
    <t>Q&amp;J</t>
  </si>
  <si>
    <t>C70381</t>
  </si>
  <si>
    <t>P=5.0mm Screw terminal RoHS</t>
  </si>
  <si>
    <t>J7</t>
  </si>
  <si>
    <t>WJ301V-5.0-3P</t>
  </si>
  <si>
    <t>Ningbo Kangnex Elec</t>
  </si>
  <si>
    <t>C8483</t>
  </si>
  <si>
    <t>J8, J#1</t>
  </si>
  <si>
    <t>WJ301V-5.0-2P</t>
  </si>
  <si>
    <t>C8475</t>
  </si>
  <si>
    <t>2 PIN JST Connector</t>
  </si>
  <si>
    <t>P17</t>
  </si>
  <si>
    <t>2 Pin JST Connector</t>
  </si>
  <si>
    <t>BOOMELE</t>
  </si>
  <si>
    <t>C66603</t>
  </si>
  <si>
    <t>EH-2A</t>
  </si>
  <si>
    <t>CBL PLUG-OF-NAILS 10-PIN W/LEGS</t>
  </si>
  <si>
    <t>J5</t>
  </si>
  <si>
    <t>TC2050-IDC</t>
  </si>
  <si>
    <t>Tag-Connect</t>
  </si>
  <si>
    <t>-------------</t>
  </si>
  <si>
    <t>DO NOT Mount</t>
  </si>
  <si>
    <t>Wire Connecting Pad</t>
  </si>
  <si>
    <t>P1</t>
  </si>
  <si>
    <t>SMD PAD</t>
  </si>
  <si>
    <t>Solder Bridge ON</t>
  </si>
  <si>
    <t>SB2, SB3, SB14, SB15, SB16, SB17, SB18, SB19, SB20,SB21, SB_ZD1</t>
  </si>
  <si>
    <t>Solder Bridge</t>
  </si>
  <si>
    <t>Test Point ON</t>
  </si>
  <si>
    <t>P2, P12, P13, P14, P15, P16</t>
  </si>
  <si>
    <t>TEST POINT</t>
  </si>
  <si>
    <t>Peripheral</t>
  </si>
  <si>
    <t>LS-SG555 37MM Dc Gear Motor</t>
  </si>
  <si>
    <t>-------</t>
  </si>
  <si>
    <t>LS-SG555</t>
  </si>
  <si>
    <t>Ningbo Leison Motor</t>
  </si>
  <si>
    <t>---</t>
  </si>
  <si>
    <t>-----</t>
  </si>
  <si>
    <t>Custom Supplier</t>
  </si>
  <si>
    <t>Delivery time: 15 days after got the payment</t>
  </si>
  <si>
    <t xml:space="preserve">Total Component Cost </t>
  </si>
  <si>
    <t>Single Board Cost</t>
  </si>
  <si>
    <t>Motor Shipping Cost</t>
  </si>
  <si>
    <t>Pakistan</t>
  </si>
  <si>
    <t>Total Cost</t>
  </si>
  <si>
    <r>
      <rPr>
        <strike/>
        <sz val="10"/>
        <color rgb="FFFF0000"/>
        <rFont val="Calibri"/>
        <family val="2"/>
      </rPr>
      <t>R18</t>
    </r>
    <r>
      <rPr>
        <sz val="10"/>
        <rFont val="Calibri"/>
        <charset val="134"/>
      </rPr>
      <t>,R19, RF22, RF23</t>
    </r>
  </si>
  <si>
    <t>DO NOT Mount R18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</si>
</sst>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quot;$&quot;#,##0.0000_);[Red]\(&quot;$&quot;#,##0.0000\)"/>
    <numFmt numFmtId="165" formatCode="&quot;$&quot;#,##0.0000"/>
    <numFmt numFmtId="166" formatCode="_-[$$-409]* #,##0.00_ ;_-[$$-409]* \-#,##0.00\ ;_-[$$-409]* &quot;-&quot;??_ ;_-@_ "/>
  </numFmts>
  <fonts count="25">
    <font>
      <sz val="11"/>
      <color theme="1"/>
      <name val="Calibri"/>
      <charset val="134"/>
      <scheme val="minor"/>
    </font>
    <font>
      <sz val="12"/>
      <color theme="1"/>
      <name val="Calibri"/>
      <charset val="134"/>
      <scheme val="minor"/>
    </font>
    <font>
      <b/>
      <sz val="12"/>
      <color theme="0"/>
      <name val="Calibri"/>
      <charset val="134"/>
    </font>
    <font>
      <b/>
      <sz val="10"/>
      <color theme="0"/>
      <name val="Calibri"/>
      <charset val="134"/>
    </font>
    <font>
      <b/>
      <sz val="11"/>
      <color theme="1"/>
      <name val="Calibri"/>
      <charset val="134"/>
    </font>
    <font>
      <sz val="10"/>
      <name val="Calibri"/>
      <charset val="134"/>
    </font>
    <font>
      <sz val="10"/>
      <color theme="1"/>
      <name val="Calibri"/>
      <charset val="134"/>
    </font>
    <font>
      <strike/>
      <sz val="10"/>
      <color rgb="FFFF0000"/>
      <name val="Calibri"/>
      <charset val="134"/>
    </font>
    <font>
      <sz val="10"/>
      <color rgb="FF333333"/>
      <name val="Calibri"/>
      <charset val="134"/>
    </font>
    <font>
      <sz val="10"/>
      <color theme="1"/>
      <name val="Calibri"/>
      <charset val="134"/>
      <scheme val="minor"/>
    </font>
    <font>
      <sz val="10"/>
      <color rgb="FFFF0000"/>
      <name val="Calibri"/>
      <charset val="134"/>
    </font>
    <font>
      <u/>
      <sz val="10"/>
      <color rgb="FF800080"/>
      <name val="Calibri"/>
      <charset val="134"/>
    </font>
    <font>
      <u/>
      <sz val="11"/>
      <color rgb="FF0000FF"/>
      <name val="Calibri"/>
      <charset val="134"/>
      <scheme val="minor"/>
    </font>
    <font>
      <sz val="10"/>
      <color rgb="FFCC0000"/>
      <name val="Calibri"/>
      <charset val="134"/>
    </font>
    <font>
      <u/>
      <sz val="10"/>
      <color rgb="FF0000FF"/>
      <name val="Calibri"/>
      <charset val="134"/>
    </font>
    <font>
      <b/>
      <sz val="10"/>
      <color rgb="FFFF0000"/>
      <name val="Calibri"/>
      <charset val="134"/>
      <scheme val="minor"/>
    </font>
    <font>
      <strike/>
      <sz val="10"/>
      <color rgb="FFFF0000"/>
      <name val="Calibri"/>
      <charset val="134"/>
      <scheme val="minor"/>
    </font>
    <font>
      <b/>
      <sz val="14"/>
      <name val="Calibri"/>
      <charset val="134"/>
      <scheme val="minor"/>
    </font>
    <font>
      <b/>
      <sz val="11"/>
      <color theme="1"/>
      <name val="Calibri"/>
      <charset val="134"/>
      <scheme val="minor"/>
    </font>
    <font>
      <b/>
      <strike/>
      <sz val="10"/>
      <color rgb="FFFF0000"/>
      <name val="Calibri"/>
      <charset val="134"/>
      <scheme val="minor"/>
    </font>
    <font>
      <b/>
      <sz val="10"/>
      <color rgb="FF7030A0"/>
      <name val="Calibri"/>
      <charset val="134"/>
      <scheme val="minor"/>
    </font>
    <font>
      <sz val="10"/>
      <name val="Times New Roman"/>
      <charset val="134"/>
    </font>
    <font>
      <sz val="10"/>
      <name val="Calibri"/>
      <family val="2"/>
    </font>
    <font>
      <strike/>
      <sz val="10"/>
      <color rgb="FFFF0000"/>
      <name val="Calibri"/>
      <family val="2"/>
    </font>
    <font>
      <sz val="10"/>
      <color rgb="FFFF0000"/>
      <name val="Calibri"/>
      <family val="2"/>
    </font>
  </fonts>
  <fills count="6">
    <fill>
      <patternFill patternType="none"/>
    </fill>
    <fill>
      <patternFill patternType="gray125"/>
    </fill>
    <fill>
      <patternFill patternType="solid">
        <fgColor theme="0"/>
        <bgColor indexed="64"/>
      </patternFill>
    </fill>
    <fill>
      <patternFill patternType="solid">
        <fgColor theme="0" tint="-0.499984740745262"/>
        <bgColor indexed="64"/>
      </patternFill>
    </fill>
    <fill>
      <patternFill patternType="solid">
        <fgColor rgb="FFFFFF00"/>
        <bgColor indexed="64"/>
      </patternFill>
    </fill>
    <fill>
      <patternFill patternType="solid">
        <fgColor rgb="FFFFFFFF"/>
        <bgColor indexed="64"/>
      </patternFill>
    </fill>
  </fills>
  <borders count="40">
    <border>
      <left/>
      <right/>
      <top/>
      <bottom/>
      <diagonal/>
    </border>
    <border>
      <left style="medium">
        <color auto="1"/>
      </left>
      <right/>
      <top style="medium">
        <color auto="1"/>
      </top>
      <bottom/>
      <diagonal/>
    </border>
    <border>
      <left/>
      <right/>
      <top style="medium">
        <color auto="1"/>
      </top>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medium">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medium">
        <color auto="1"/>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style="thin">
        <color auto="1"/>
      </right>
      <top/>
      <bottom style="medium">
        <color auto="1"/>
      </bottom>
      <diagonal/>
    </border>
    <border>
      <left style="thin">
        <color auto="1"/>
      </left>
      <right style="thin">
        <color auto="1"/>
      </right>
      <top/>
      <bottom style="medium">
        <color auto="1"/>
      </bottom>
      <diagonal/>
    </border>
    <border>
      <left style="medium">
        <color auto="1"/>
      </left>
      <right style="medium">
        <color auto="1"/>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bottom/>
      <diagonal/>
    </border>
    <border>
      <left/>
      <right style="thin">
        <color auto="1"/>
      </right>
      <top/>
      <bottom/>
      <diagonal/>
    </border>
    <border>
      <left style="thin">
        <color auto="1"/>
      </left>
      <right style="thin">
        <color auto="1"/>
      </right>
      <top/>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thin">
        <color auto="1"/>
      </right>
      <top style="medium">
        <color auto="1"/>
      </top>
      <bottom/>
      <diagonal/>
    </border>
    <border>
      <left/>
      <right/>
      <top/>
      <bottom style="medium">
        <color auto="1"/>
      </bottom>
      <diagonal/>
    </border>
    <border>
      <left/>
      <right/>
      <top style="medium">
        <color auto="1"/>
      </top>
      <bottom style="medium">
        <color auto="1"/>
      </bottom>
      <diagonal/>
    </border>
    <border>
      <left/>
      <right style="medium">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bottom style="thin">
        <color auto="1"/>
      </bottom>
      <diagonal/>
    </border>
    <border>
      <left style="thin">
        <color auto="1"/>
      </left>
      <right style="medium">
        <color auto="1"/>
      </right>
      <top/>
      <bottom/>
      <diagonal/>
    </border>
    <border>
      <left style="thin">
        <color auto="1"/>
      </left>
      <right style="medium">
        <color auto="1"/>
      </right>
      <top style="medium">
        <color auto="1"/>
      </top>
      <bottom style="medium">
        <color auto="1"/>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182">
    <xf numFmtId="0" fontId="0" fillId="0" borderId="0" xfId="0">
      <alignment vertical="center"/>
    </xf>
    <xf numFmtId="0" fontId="1" fillId="0" borderId="0" xfId="0" applyFont="1" applyAlignment="1">
      <alignment horizontal="center" vertical="center"/>
    </xf>
    <xf numFmtId="0" fontId="0" fillId="0" borderId="0" xfId="0" applyFont="1" applyAlignment="1">
      <alignment horizontal="center" vertical="center"/>
    </xf>
    <xf numFmtId="0" fontId="0" fillId="2" borderId="0" xfId="0" applyFill="1" applyAlignment="1">
      <alignment horizontal="center" vertical="center"/>
    </xf>
    <xf numFmtId="0" fontId="0" fillId="0" borderId="0" xfId="0" applyAlignment="1">
      <alignment horizontal="center" vertical="center"/>
    </xf>
    <xf numFmtId="0" fontId="0" fillId="0" borderId="0" xfId="0" applyNumberFormat="1" applyAlignment="1">
      <alignment horizontal="center" vertical="center"/>
    </xf>
    <xf numFmtId="0" fontId="2" fillId="3" borderId="3" xfId="0" applyFont="1" applyFill="1" applyBorder="1" applyAlignment="1">
      <alignment horizontal="center" vertical="center"/>
    </xf>
    <xf numFmtId="0" fontId="3" fillId="3" borderId="3" xfId="0" applyFont="1" applyFill="1" applyBorder="1" applyAlignment="1">
      <alignment horizontal="center" vertical="center"/>
    </xf>
    <xf numFmtId="0" fontId="5" fillId="0" borderId="5" xfId="0" applyFont="1" applyBorder="1" applyAlignment="1">
      <alignment horizontal="left" vertical="center"/>
    </xf>
    <xf numFmtId="0" fontId="5" fillId="0" borderId="6" xfId="0" applyFont="1" applyBorder="1" applyAlignment="1">
      <alignment horizontal="center" vertical="center"/>
    </xf>
    <xf numFmtId="0" fontId="6" fillId="0" borderId="6" xfId="0" applyFont="1" applyBorder="1" applyAlignment="1">
      <alignment horizontal="center" vertical="center"/>
    </xf>
    <xf numFmtId="0" fontId="6" fillId="0" borderId="9" xfId="0" applyFont="1" applyBorder="1" applyAlignment="1">
      <alignment horizontal="center" vertical="center"/>
    </xf>
    <xf numFmtId="0" fontId="7" fillId="0" borderId="9" xfId="0" applyFont="1" applyBorder="1" applyAlignment="1">
      <alignment horizontal="center" vertical="center"/>
    </xf>
    <xf numFmtId="0" fontId="6" fillId="4" borderId="9" xfId="0" applyFont="1" applyFill="1" applyBorder="1" applyAlignment="1">
      <alignment horizontal="center" vertical="center"/>
    </xf>
    <xf numFmtId="0" fontId="7" fillId="4" borderId="9" xfId="0" applyFont="1" applyFill="1" applyBorder="1" applyAlignment="1">
      <alignment horizontal="center" vertical="center"/>
    </xf>
    <xf numFmtId="0" fontId="8" fillId="4" borderId="9" xfId="0" applyFont="1" applyFill="1" applyBorder="1" applyAlignment="1">
      <alignment horizontal="center" vertical="center"/>
    </xf>
    <xf numFmtId="0" fontId="6" fillId="0" borderId="12" xfId="0" applyFont="1" applyBorder="1" applyAlignment="1">
      <alignment horizontal="center" vertical="center"/>
    </xf>
    <xf numFmtId="0" fontId="4" fillId="0" borderId="14" xfId="0" applyFont="1" applyBorder="1" applyAlignment="1">
      <alignment horizontal="center" vertical="center"/>
    </xf>
    <xf numFmtId="0" fontId="6" fillId="0" borderId="16" xfId="0" applyFont="1" applyBorder="1" applyAlignment="1">
      <alignment horizontal="center" vertical="center"/>
    </xf>
    <xf numFmtId="0" fontId="6" fillId="0" borderId="18" xfId="0" applyFont="1" applyBorder="1" applyAlignment="1">
      <alignment horizontal="center" vertical="center"/>
    </xf>
    <xf numFmtId="0" fontId="6" fillId="0" borderId="21" xfId="0" applyFont="1" applyBorder="1" applyAlignment="1">
      <alignment horizontal="center" vertical="center"/>
    </xf>
    <xf numFmtId="0" fontId="6" fillId="4" borderId="12" xfId="0" applyFont="1" applyFill="1" applyBorder="1" applyAlignment="1">
      <alignment horizontal="center" vertical="center"/>
    </xf>
    <xf numFmtId="0" fontId="4" fillId="0" borderId="23" xfId="0" applyFont="1" applyBorder="1" applyAlignment="1">
      <alignment horizontal="center" vertical="center"/>
    </xf>
    <xf numFmtId="0" fontId="6" fillId="0" borderId="25" xfId="0" applyFont="1" applyBorder="1" applyAlignment="1">
      <alignment horizontal="center" vertical="center"/>
    </xf>
    <xf numFmtId="0" fontId="4" fillId="0" borderId="3" xfId="0" applyFont="1" applyBorder="1" applyAlignment="1">
      <alignment horizontal="center" vertical="center"/>
    </xf>
    <xf numFmtId="0" fontId="6" fillId="4" borderId="27" xfId="0" applyFont="1" applyFill="1" applyBorder="1" applyAlignment="1">
      <alignment horizontal="center" vertical="center"/>
    </xf>
    <xf numFmtId="0" fontId="6" fillId="4" borderId="6" xfId="0" applyFont="1" applyFill="1" applyBorder="1" applyAlignment="1">
      <alignment horizontal="center" vertical="center"/>
    </xf>
    <xf numFmtId="0" fontId="2" fillId="3" borderId="3" xfId="0" applyNumberFormat="1" applyFont="1" applyFill="1" applyBorder="1" applyAlignment="1">
      <alignment horizontal="center" vertical="center"/>
    </xf>
    <xf numFmtId="0" fontId="9" fillId="5" borderId="6" xfId="0" applyFont="1" applyFill="1" applyBorder="1" applyAlignment="1">
      <alignment horizontal="center" vertical="center"/>
    </xf>
    <xf numFmtId="0" fontId="10" fillId="0" borderId="6" xfId="0" applyNumberFormat="1" applyFont="1" applyBorder="1" applyAlignment="1">
      <alignment horizontal="center" vertical="center"/>
    </xf>
    <xf numFmtId="0" fontId="9" fillId="5" borderId="9" xfId="0" applyFont="1" applyFill="1" applyBorder="1" applyAlignment="1">
      <alignment horizontal="center" vertical="center"/>
    </xf>
    <xf numFmtId="0" fontId="10" fillId="0" borderId="9" xfId="0" applyNumberFormat="1" applyFont="1" applyBorder="1" applyAlignment="1">
      <alignment horizontal="center" vertical="center"/>
    </xf>
    <xf numFmtId="0" fontId="6" fillId="4" borderId="9" xfId="0" applyNumberFormat="1" applyFont="1" applyFill="1" applyBorder="1" applyAlignment="1">
      <alignment horizontal="center" vertical="center"/>
    </xf>
    <xf numFmtId="0" fontId="10" fillId="0" borderId="12" xfId="0" applyNumberFormat="1" applyFont="1" applyBorder="1" applyAlignment="1">
      <alignment horizontal="center" vertical="center"/>
    </xf>
    <xf numFmtId="0" fontId="9" fillId="0" borderId="6" xfId="0" applyFont="1" applyBorder="1" applyAlignment="1">
      <alignment horizontal="center" vertical="center"/>
    </xf>
    <xf numFmtId="0" fontId="9" fillId="0" borderId="16" xfId="0" applyFont="1" applyBorder="1" applyAlignment="1">
      <alignment horizontal="center" vertical="center"/>
    </xf>
    <xf numFmtId="0" fontId="10" fillId="0" borderId="16" xfId="0" applyNumberFormat="1" applyFont="1" applyBorder="1" applyAlignment="1">
      <alignment horizontal="center" vertical="center"/>
    </xf>
    <xf numFmtId="0" fontId="9" fillId="5" borderId="18" xfId="0" applyFont="1" applyFill="1" applyBorder="1" applyAlignment="1">
      <alignment horizontal="center" vertical="center"/>
    </xf>
    <xf numFmtId="0" fontId="9" fillId="0" borderId="18" xfId="0" applyFont="1" applyBorder="1" applyAlignment="1">
      <alignment horizontal="center" vertical="center"/>
    </xf>
    <xf numFmtId="0" fontId="10" fillId="0" borderId="18" xfId="0" applyNumberFormat="1" applyFont="1" applyBorder="1" applyAlignment="1">
      <alignment horizontal="center" vertical="center"/>
    </xf>
    <xf numFmtId="0" fontId="9" fillId="5" borderId="21" xfId="0" applyFont="1" applyFill="1" applyBorder="1" applyAlignment="1">
      <alignment horizontal="center" vertical="center"/>
    </xf>
    <xf numFmtId="0" fontId="9" fillId="0" borderId="21" xfId="0" applyFont="1" applyBorder="1" applyAlignment="1">
      <alignment horizontal="center" vertical="center"/>
    </xf>
    <xf numFmtId="0" fontId="10" fillId="0" borderId="21" xfId="0" applyNumberFormat="1" applyFont="1" applyBorder="1" applyAlignment="1">
      <alignment horizontal="center" vertical="center"/>
    </xf>
    <xf numFmtId="0" fontId="9" fillId="0" borderId="9" xfId="0" applyFont="1" applyBorder="1" applyAlignment="1">
      <alignment horizontal="center" vertical="center"/>
    </xf>
    <xf numFmtId="0" fontId="9" fillId="4" borderId="12" xfId="0" applyFont="1" applyFill="1" applyBorder="1" applyAlignment="1">
      <alignment horizontal="center" vertical="center"/>
    </xf>
    <xf numFmtId="0" fontId="10" fillId="4" borderId="12" xfId="0" applyNumberFormat="1" applyFont="1" applyFill="1" applyBorder="1" applyAlignment="1">
      <alignment horizontal="center" vertical="center"/>
    </xf>
    <xf numFmtId="0" fontId="9" fillId="5" borderId="16" xfId="0" applyFont="1" applyFill="1" applyBorder="1" applyAlignment="1">
      <alignment horizontal="center" vertical="center"/>
    </xf>
    <xf numFmtId="0" fontId="9" fillId="5" borderId="25" xfId="0" applyFont="1" applyFill="1" applyBorder="1" applyAlignment="1">
      <alignment horizontal="center" vertical="center"/>
    </xf>
    <xf numFmtId="0" fontId="9" fillId="0" borderId="25" xfId="0" applyFont="1" applyBorder="1" applyAlignment="1">
      <alignment horizontal="center" vertical="center"/>
    </xf>
    <xf numFmtId="0" fontId="10" fillId="0" borderId="25" xfId="0" applyNumberFormat="1" applyFont="1" applyBorder="1" applyAlignment="1">
      <alignment horizontal="center" vertical="center"/>
    </xf>
    <xf numFmtId="0" fontId="9" fillId="4" borderId="27" xfId="0" applyFont="1" applyFill="1" applyBorder="1" applyAlignment="1">
      <alignment horizontal="center" vertical="center"/>
    </xf>
    <xf numFmtId="0" fontId="6" fillId="4" borderId="27" xfId="0" applyNumberFormat="1" applyFont="1" applyFill="1" applyBorder="1" applyAlignment="1">
      <alignment horizontal="center" vertical="center"/>
    </xf>
    <xf numFmtId="0" fontId="8" fillId="0" borderId="9" xfId="0" applyFont="1" applyBorder="1" applyAlignment="1">
      <alignment horizontal="center" vertical="center"/>
    </xf>
    <xf numFmtId="0" fontId="8" fillId="5" borderId="9" xfId="0" applyFont="1" applyFill="1" applyBorder="1" applyAlignment="1">
      <alignment horizontal="center" vertical="center"/>
    </xf>
    <xf numFmtId="0" fontId="9" fillId="4" borderId="9" xfId="0" applyFont="1" applyFill="1" applyBorder="1" applyAlignment="1">
      <alignment horizontal="center" vertical="center"/>
    </xf>
    <xf numFmtId="0" fontId="9" fillId="4" borderId="6" xfId="0" applyFont="1" applyFill="1" applyBorder="1" applyAlignment="1">
      <alignment horizontal="center" vertical="center"/>
    </xf>
    <xf numFmtId="0" fontId="6" fillId="4" borderId="6" xfId="0" applyNumberFormat="1" applyFont="1" applyFill="1" applyBorder="1" applyAlignment="1">
      <alignment horizontal="center" vertical="center"/>
    </xf>
    <xf numFmtId="0" fontId="11" fillId="0" borderId="6" xfId="1" applyFont="1" applyBorder="1" applyAlignment="1">
      <alignment horizontal="center" vertical="center"/>
    </xf>
    <xf numFmtId="164" fontId="6" fillId="0" borderId="2" xfId="0" applyNumberFormat="1" applyFont="1" applyBorder="1" applyAlignment="1">
      <alignment horizontal="center" vertical="center"/>
    </xf>
    <xf numFmtId="164" fontId="6" fillId="0" borderId="6" xfId="0" applyNumberFormat="1" applyFont="1" applyBorder="1" applyAlignment="1">
      <alignment horizontal="center" vertical="center"/>
    </xf>
    <xf numFmtId="0" fontId="11" fillId="0" borderId="9" xfId="1" applyFont="1" applyBorder="1" applyAlignment="1">
      <alignment horizontal="center" vertical="center"/>
    </xf>
    <xf numFmtId="164" fontId="6" fillId="0" borderId="9" xfId="0" applyNumberFormat="1" applyFont="1" applyBorder="1" applyAlignment="1">
      <alignment horizontal="center" vertical="center"/>
    </xf>
    <xf numFmtId="0" fontId="12" fillId="0" borderId="9" xfId="1" applyBorder="1" applyAlignment="1">
      <alignment horizontal="center" vertical="center"/>
    </xf>
    <xf numFmtId="164" fontId="8" fillId="0" borderId="0" xfId="0" applyNumberFormat="1" applyFont="1" applyBorder="1" applyAlignment="1">
      <alignment horizontal="center" vertical="center"/>
    </xf>
    <xf numFmtId="0" fontId="11" fillId="4" borderId="9" xfId="1" applyFont="1" applyFill="1" applyBorder="1" applyAlignment="1">
      <alignment horizontal="center" vertical="center"/>
    </xf>
    <xf numFmtId="164" fontId="6" fillId="4" borderId="9" xfId="0" applyNumberFormat="1" applyFont="1" applyFill="1" applyBorder="1" applyAlignment="1">
      <alignment horizontal="center" vertical="center"/>
    </xf>
    <xf numFmtId="164" fontId="8" fillId="4" borderId="0" xfId="0" applyNumberFormat="1" applyFont="1" applyFill="1" applyBorder="1" applyAlignment="1">
      <alignment horizontal="center" vertical="center"/>
    </xf>
    <xf numFmtId="0" fontId="11" fillId="0" borderId="12" xfId="1" applyFont="1" applyBorder="1" applyAlignment="1">
      <alignment horizontal="center" vertical="center"/>
    </xf>
    <xf numFmtId="164" fontId="6" fillId="0" borderId="12" xfId="0" applyNumberFormat="1" applyFont="1" applyBorder="1" applyAlignment="1">
      <alignment horizontal="center" vertical="center"/>
    </xf>
    <xf numFmtId="0" fontId="12" fillId="0" borderId="6" xfId="1" applyBorder="1" applyAlignment="1">
      <alignment horizontal="center" vertical="center"/>
    </xf>
    <xf numFmtId="164" fontId="8" fillId="0" borderId="6" xfId="0" applyNumberFormat="1" applyFont="1" applyBorder="1" applyAlignment="1">
      <alignment horizontal="center" vertical="center"/>
    </xf>
    <xf numFmtId="0" fontId="11" fillId="0" borderId="16" xfId="1" applyFont="1" applyBorder="1" applyAlignment="1">
      <alignment horizontal="center" vertical="center"/>
    </xf>
    <xf numFmtId="164" fontId="8" fillId="0" borderId="16" xfId="0" applyNumberFormat="1" applyFont="1" applyBorder="1" applyAlignment="1">
      <alignment horizontal="center" vertical="center"/>
    </xf>
    <xf numFmtId="164" fontId="6" fillId="0" borderId="16" xfId="0" applyNumberFormat="1" applyFont="1" applyBorder="1" applyAlignment="1">
      <alignment horizontal="center" vertical="center"/>
    </xf>
    <xf numFmtId="0" fontId="11" fillId="0" borderId="18" xfId="1" applyFont="1" applyBorder="1" applyAlignment="1">
      <alignment horizontal="center" vertical="center"/>
    </xf>
    <xf numFmtId="164" fontId="6" fillId="0" borderId="18" xfId="0" applyNumberFormat="1" applyFont="1" applyBorder="1" applyAlignment="1">
      <alignment horizontal="center" vertical="center"/>
    </xf>
    <xf numFmtId="0" fontId="11" fillId="0" borderId="21" xfId="1" applyFont="1" applyBorder="1" applyAlignment="1">
      <alignment horizontal="center" vertical="center"/>
    </xf>
    <xf numFmtId="164" fontId="6" fillId="0" borderId="21" xfId="0" applyNumberFormat="1" applyFont="1" applyBorder="1" applyAlignment="1">
      <alignment horizontal="center" vertical="center"/>
    </xf>
    <xf numFmtId="164" fontId="8" fillId="0" borderId="0" xfId="0" applyNumberFormat="1" applyFont="1" applyAlignment="1">
      <alignment horizontal="center" vertical="center"/>
    </xf>
    <xf numFmtId="0" fontId="11" fillId="4" borderId="12" xfId="1" applyFont="1" applyFill="1" applyBorder="1" applyAlignment="1">
      <alignment horizontal="center" vertical="center"/>
    </xf>
    <xf numFmtId="164" fontId="6" fillId="4" borderId="12" xfId="0" applyNumberFormat="1" applyFont="1" applyFill="1" applyBorder="1" applyAlignment="1">
      <alignment horizontal="center" vertical="center"/>
    </xf>
    <xf numFmtId="164" fontId="8" fillId="0" borderId="2" xfId="0" applyNumberFormat="1" applyFont="1" applyBorder="1" applyAlignment="1">
      <alignment horizontal="center" vertical="center"/>
    </xf>
    <xf numFmtId="164" fontId="8" fillId="0" borderId="29" xfId="0" applyNumberFormat="1" applyFont="1" applyBorder="1" applyAlignment="1">
      <alignment horizontal="center" vertical="center"/>
    </xf>
    <xf numFmtId="0" fontId="11" fillId="0" borderId="25" xfId="1" applyFont="1" applyBorder="1" applyAlignment="1">
      <alignment horizontal="center" vertical="center"/>
    </xf>
    <xf numFmtId="164" fontId="6" fillId="0" borderId="25" xfId="0" applyNumberFormat="1" applyFont="1" applyBorder="1" applyAlignment="1">
      <alignment horizontal="center" vertical="center"/>
    </xf>
    <xf numFmtId="0" fontId="11" fillId="4" borderId="27" xfId="1" applyFont="1" applyFill="1" applyBorder="1" applyAlignment="1">
      <alignment horizontal="center" vertical="center"/>
    </xf>
    <xf numFmtId="164" fontId="6" fillId="4" borderId="27" xfId="0" applyNumberFormat="1" applyFont="1" applyFill="1" applyBorder="1" applyAlignment="1">
      <alignment horizontal="center" vertical="center"/>
    </xf>
    <xf numFmtId="164" fontId="13" fillId="4" borderId="30" xfId="0" applyNumberFormat="1" applyFont="1" applyFill="1" applyBorder="1" applyAlignment="1">
      <alignment horizontal="center" vertical="center"/>
    </xf>
    <xf numFmtId="0" fontId="14" fillId="4" borderId="9" xfId="1" applyFont="1" applyFill="1" applyBorder="1" applyAlignment="1">
      <alignment horizontal="center" vertical="center"/>
    </xf>
    <xf numFmtId="0" fontId="11" fillId="4" borderId="6" xfId="1" applyFont="1" applyFill="1" applyBorder="1" applyAlignment="1">
      <alignment horizontal="center" vertical="center"/>
    </xf>
    <xf numFmtId="164" fontId="6" fillId="4" borderId="6" xfId="0" applyNumberFormat="1" applyFont="1" applyFill="1" applyBorder="1" applyAlignment="1">
      <alignment horizontal="center" vertical="center"/>
    </xf>
    <xf numFmtId="0" fontId="6" fillId="0" borderId="32" xfId="0" applyFont="1" applyBorder="1" applyAlignment="1">
      <alignment horizontal="center" vertical="center"/>
    </xf>
    <xf numFmtId="0" fontId="6" fillId="0" borderId="33" xfId="0" applyFont="1" applyBorder="1" applyAlignment="1">
      <alignment horizontal="center" vertical="center"/>
    </xf>
    <xf numFmtId="0" fontId="15" fillId="0" borderId="33" xfId="0" applyFont="1" applyBorder="1" applyAlignment="1">
      <alignment horizontal="center" vertical="center" wrapText="1"/>
    </xf>
    <xf numFmtId="0" fontId="6" fillId="4" borderId="33" xfId="0" applyFont="1" applyFill="1" applyBorder="1" applyAlignment="1">
      <alignment horizontal="center" vertical="center"/>
    </xf>
    <xf numFmtId="0" fontId="6" fillId="0" borderId="34" xfId="0" applyFont="1" applyBorder="1" applyAlignment="1">
      <alignment horizontal="center" vertical="center"/>
    </xf>
    <xf numFmtId="0" fontId="6" fillId="4" borderId="35" xfId="0" applyFont="1" applyFill="1" applyBorder="1" applyAlignment="1">
      <alignment horizontal="center" vertical="center"/>
    </xf>
    <xf numFmtId="0" fontId="6" fillId="0" borderId="36" xfId="0" applyFont="1" applyBorder="1" applyAlignment="1">
      <alignment horizontal="center" vertical="center"/>
    </xf>
    <xf numFmtId="0" fontId="6" fillId="0" borderId="37" xfId="0" applyFont="1" applyBorder="1" applyAlignment="1">
      <alignment horizontal="center" vertical="center"/>
    </xf>
    <xf numFmtId="0" fontId="6" fillId="4" borderId="34" xfId="0" applyFont="1" applyFill="1" applyBorder="1" applyAlignment="1">
      <alignment horizontal="center" vertical="center"/>
    </xf>
    <xf numFmtId="0" fontId="6" fillId="0" borderId="35" xfId="0" applyFont="1" applyBorder="1" applyAlignment="1">
      <alignment horizontal="center" vertical="center"/>
    </xf>
    <xf numFmtId="0" fontId="6" fillId="0" borderId="38" xfId="0" applyFont="1" applyBorder="1" applyAlignment="1">
      <alignment horizontal="center" vertical="center"/>
    </xf>
    <xf numFmtId="0" fontId="6" fillId="4" borderId="39" xfId="0" applyFont="1" applyFill="1" applyBorder="1" applyAlignment="1">
      <alignment horizontal="center" vertical="center"/>
    </xf>
    <xf numFmtId="0" fontId="6" fillId="4" borderId="32" xfId="0" applyFont="1" applyFill="1" applyBorder="1" applyAlignment="1">
      <alignment horizontal="center" vertical="center"/>
    </xf>
    <xf numFmtId="0" fontId="16" fillId="4" borderId="9" xfId="0" applyFont="1" applyFill="1" applyBorder="1" applyAlignment="1">
      <alignment horizontal="center" vertical="center"/>
    </xf>
    <xf numFmtId="0" fontId="3" fillId="3" borderId="13" xfId="0" applyFont="1" applyFill="1" applyBorder="1" applyAlignment="1">
      <alignment horizontal="center" vertical="center"/>
    </xf>
    <xf numFmtId="0" fontId="16" fillId="4" borderId="12" xfId="0" applyFont="1" applyFill="1" applyBorder="1" applyAlignment="1">
      <alignment horizontal="center" vertical="center"/>
    </xf>
    <xf numFmtId="0" fontId="0" fillId="0" borderId="27" xfId="0" applyBorder="1" applyAlignment="1">
      <alignment horizontal="center" vertical="center"/>
    </xf>
    <xf numFmtId="165" fontId="16" fillId="4" borderId="9" xfId="0" applyNumberFormat="1" applyFont="1" applyFill="1" applyBorder="1" applyAlignment="1">
      <alignment horizontal="center" vertical="center"/>
    </xf>
    <xf numFmtId="0" fontId="16" fillId="4" borderId="9" xfId="0" applyNumberFormat="1" applyFont="1" applyFill="1" applyBorder="1" applyAlignment="1">
      <alignment horizontal="center" vertical="center"/>
    </xf>
    <xf numFmtId="165" fontId="16" fillId="4" borderId="12" xfId="0" applyNumberFormat="1" applyFont="1" applyFill="1" applyBorder="1" applyAlignment="1">
      <alignment horizontal="center" vertical="center"/>
    </xf>
    <xf numFmtId="0" fontId="7" fillId="0" borderId="12" xfId="0" applyFont="1" applyBorder="1" applyAlignment="1">
      <alignment horizontal="center" vertical="center"/>
    </xf>
    <xf numFmtId="0" fontId="16" fillId="4" borderId="12" xfId="0" applyNumberFormat="1" applyFont="1" applyFill="1" applyBorder="1" applyAlignment="1">
      <alignment horizontal="center" vertical="center"/>
    </xf>
    <xf numFmtId="0" fontId="6" fillId="0" borderId="27" xfId="0" applyFont="1" applyBorder="1" applyAlignment="1">
      <alignment horizontal="center" vertical="center"/>
    </xf>
    <xf numFmtId="0" fontId="11" fillId="0" borderId="27" xfId="1" applyFont="1" applyBorder="1" applyAlignment="1">
      <alignment horizontal="center" vertical="center"/>
    </xf>
    <xf numFmtId="164" fontId="6" fillId="0" borderId="27" xfId="0" applyNumberFormat="1" applyFont="1" applyBorder="1" applyAlignment="1">
      <alignment horizontal="center" vertical="center"/>
    </xf>
    <xf numFmtId="164" fontId="0" fillId="0" borderId="0" xfId="0" applyNumberFormat="1" applyAlignment="1">
      <alignment horizontal="center" vertical="center"/>
    </xf>
    <xf numFmtId="0" fontId="18" fillId="0" borderId="0" xfId="0" applyFont="1" applyAlignment="1">
      <alignment horizontal="center" vertical="center"/>
    </xf>
    <xf numFmtId="166" fontId="19" fillId="4" borderId="33" xfId="0" applyNumberFormat="1" applyFont="1" applyFill="1" applyBorder="1" applyAlignment="1">
      <alignment horizontal="center" vertical="center"/>
    </xf>
    <xf numFmtId="166" fontId="19" fillId="4" borderId="34" xfId="0" applyNumberFormat="1" applyFont="1" applyFill="1" applyBorder="1" applyAlignment="1">
      <alignment horizontal="center" vertical="center"/>
    </xf>
    <xf numFmtId="0" fontId="20" fillId="0" borderId="39" xfId="0" applyFont="1" applyBorder="1" applyAlignment="1">
      <alignment horizontal="center" vertical="center"/>
    </xf>
    <xf numFmtId="0" fontId="5" fillId="0" borderId="5" xfId="0" quotePrefix="1" applyFont="1" applyBorder="1" applyAlignment="1">
      <alignment horizontal="left" vertical="center"/>
    </xf>
    <xf numFmtId="0" fontId="5" fillId="0" borderId="6" xfId="0" quotePrefix="1" applyFont="1" applyBorder="1" applyAlignment="1">
      <alignment horizontal="center" vertical="center"/>
    </xf>
    <xf numFmtId="0" fontId="6" fillId="0" borderId="6" xfId="0" quotePrefix="1" applyFont="1" applyBorder="1" applyAlignment="1">
      <alignment horizontal="center" vertical="center"/>
    </xf>
    <xf numFmtId="0" fontId="5" fillId="0" borderId="8" xfId="0" quotePrefix="1" applyFont="1" applyBorder="1" applyAlignment="1">
      <alignment horizontal="left" vertical="center"/>
    </xf>
    <xf numFmtId="0" fontId="5" fillId="0" borderId="9" xfId="0" quotePrefix="1" applyFont="1" applyBorder="1" applyAlignment="1">
      <alignment horizontal="center" vertical="center"/>
    </xf>
    <xf numFmtId="0" fontId="6" fillId="0" borderId="9" xfId="0" quotePrefix="1" applyFont="1" applyBorder="1" applyAlignment="1">
      <alignment horizontal="center" vertical="center"/>
    </xf>
    <xf numFmtId="0" fontId="5" fillId="0" borderId="9" xfId="0" quotePrefix="1" applyFont="1" applyBorder="1" applyAlignment="1">
      <alignment horizontal="center" vertical="center" wrapText="1"/>
    </xf>
    <xf numFmtId="0" fontId="7" fillId="0" borderId="9" xfId="0" quotePrefix="1" applyFont="1" applyBorder="1" applyAlignment="1">
      <alignment horizontal="center" vertical="center"/>
    </xf>
    <xf numFmtId="0" fontId="7" fillId="0" borderId="9" xfId="0" quotePrefix="1" applyFont="1" applyFill="1" applyBorder="1" applyAlignment="1">
      <alignment horizontal="center" vertical="center"/>
    </xf>
    <xf numFmtId="0" fontId="5" fillId="4" borderId="8" xfId="0" quotePrefix="1" applyFont="1" applyFill="1" applyBorder="1" applyAlignment="1">
      <alignment horizontal="left" vertical="center"/>
    </xf>
    <xf numFmtId="0" fontId="5" fillId="4" borderId="9" xfId="0" quotePrefix="1" applyFont="1" applyFill="1" applyBorder="1" applyAlignment="1">
      <alignment horizontal="center" vertical="center"/>
    </xf>
    <xf numFmtId="0" fontId="6" fillId="4" borderId="9" xfId="0" quotePrefix="1" applyFont="1" applyFill="1" applyBorder="1" applyAlignment="1">
      <alignment horizontal="center" vertical="center"/>
    </xf>
    <xf numFmtId="0" fontId="7" fillId="4" borderId="9" xfId="0" quotePrefix="1" applyFont="1" applyFill="1" applyBorder="1" applyAlignment="1">
      <alignment horizontal="center" vertical="center"/>
    </xf>
    <xf numFmtId="0" fontId="5" fillId="0" borderId="11" xfId="0" quotePrefix="1" applyFont="1" applyBorder="1" applyAlignment="1">
      <alignment horizontal="left" vertical="center"/>
    </xf>
    <xf numFmtId="0" fontId="5" fillId="0" borderId="12" xfId="0" quotePrefix="1" applyFont="1" applyBorder="1" applyAlignment="1">
      <alignment horizontal="center" vertical="center"/>
    </xf>
    <xf numFmtId="0" fontId="6" fillId="0" borderId="12" xfId="0" quotePrefix="1" applyFont="1" applyBorder="1" applyAlignment="1">
      <alignment horizontal="center" vertical="center"/>
    </xf>
    <xf numFmtId="0" fontId="5" fillId="0" borderId="15" xfId="0" quotePrefix="1" applyFont="1" applyBorder="1" applyAlignment="1">
      <alignment horizontal="left" vertical="center"/>
    </xf>
    <xf numFmtId="0" fontId="5" fillId="0" borderId="16" xfId="0" quotePrefix="1" applyFont="1" applyBorder="1" applyAlignment="1">
      <alignment horizontal="center" vertical="center"/>
    </xf>
    <xf numFmtId="0" fontId="6" fillId="0" borderId="16" xfId="0" quotePrefix="1" applyFont="1" applyBorder="1" applyAlignment="1">
      <alignment horizontal="center" vertical="center"/>
    </xf>
    <xf numFmtId="0" fontId="7" fillId="2" borderId="16" xfId="0" quotePrefix="1" applyFont="1" applyFill="1" applyBorder="1" applyAlignment="1">
      <alignment horizontal="center" vertical="center"/>
    </xf>
    <xf numFmtId="0" fontId="5" fillId="0" borderId="17" xfId="0" quotePrefix="1" applyFont="1" applyBorder="1" applyAlignment="1">
      <alignment horizontal="left" vertical="center"/>
    </xf>
    <xf numFmtId="0" fontId="5" fillId="0" borderId="18" xfId="0" quotePrefix="1" applyFont="1" applyBorder="1" applyAlignment="1">
      <alignment horizontal="center" vertical="center"/>
    </xf>
    <xf numFmtId="0" fontId="6" fillId="0" borderId="18" xfId="0" quotePrefix="1" applyFont="1" applyBorder="1" applyAlignment="1">
      <alignment horizontal="center" vertical="center"/>
    </xf>
    <xf numFmtId="0" fontId="5" fillId="0" borderId="20" xfId="0" quotePrefix="1" applyFont="1" applyBorder="1" applyAlignment="1">
      <alignment horizontal="left" vertical="center" wrapText="1"/>
    </xf>
    <xf numFmtId="0" fontId="5" fillId="0" borderId="21" xfId="0" quotePrefix="1" applyFont="1" applyBorder="1" applyAlignment="1">
      <alignment horizontal="center" vertical="center"/>
    </xf>
    <xf numFmtId="0" fontId="6" fillId="0" borderId="21" xfId="0" quotePrefix="1" applyFont="1" applyBorder="1" applyAlignment="1">
      <alignment horizontal="center" vertical="center"/>
    </xf>
    <xf numFmtId="0" fontId="6" fillId="0" borderId="21" xfId="0" quotePrefix="1" applyFont="1" applyFill="1" applyBorder="1" applyAlignment="1">
      <alignment horizontal="center" vertical="center"/>
    </xf>
    <xf numFmtId="0" fontId="5" fillId="4" borderId="11" xfId="0" quotePrefix="1" applyFont="1" applyFill="1" applyBorder="1" applyAlignment="1">
      <alignment horizontal="left" vertical="center"/>
    </xf>
    <xf numFmtId="0" fontId="5" fillId="4" borderId="12" xfId="0" quotePrefix="1" applyFont="1" applyFill="1" applyBorder="1" applyAlignment="1">
      <alignment horizontal="center" vertical="center"/>
    </xf>
    <xf numFmtId="0" fontId="6" fillId="4" borderId="12" xfId="0" quotePrefix="1" applyFont="1" applyFill="1" applyBorder="1" applyAlignment="1">
      <alignment horizontal="center" vertical="center"/>
    </xf>
    <xf numFmtId="0" fontId="5" fillId="0" borderId="24" xfId="0" quotePrefix="1" applyFont="1" applyBorder="1" applyAlignment="1">
      <alignment horizontal="left" vertical="center"/>
    </xf>
    <xf numFmtId="0" fontId="5" fillId="0" borderId="25" xfId="0" quotePrefix="1" applyFont="1" applyBorder="1" applyAlignment="1">
      <alignment horizontal="center" vertical="center"/>
    </xf>
    <xf numFmtId="0" fontId="6" fillId="0" borderId="25" xfId="0" quotePrefix="1" applyFont="1" applyBorder="1" applyAlignment="1">
      <alignment horizontal="center" vertical="center"/>
    </xf>
    <xf numFmtId="0" fontId="5" fillId="4" borderId="26" xfId="0" quotePrefix="1" applyFont="1" applyFill="1" applyBorder="1" applyAlignment="1">
      <alignment horizontal="left" vertical="center"/>
    </xf>
    <xf numFmtId="0" fontId="5" fillId="4" borderId="27" xfId="0" quotePrefix="1" applyFont="1" applyFill="1" applyBorder="1" applyAlignment="1">
      <alignment horizontal="center" vertical="center"/>
    </xf>
    <xf numFmtId="0" fontId="6" fillId="4" borderId="27" xfId="0" quotePrefix="1" applyFont="1" applyFill="1" applyBorder="1" applyAlignment="1">
      <alignment horizontal="center" vertical="center"/>
    </xf>
    <xf numFmtId="0" fontId="5" fillId="0" borderId="8" xfId="0" quotePrefix="1" applyFont="1" applyBorder="1" applyAlignment="1">
      <alignment horizontal="left" vertical="center" wrapText="1"/>
    </xf>
    <xf numFmtId="0" fontId="6" fillId="0" borderId="28" xfId="0" quotePrefix="1" applyFont="1" applyBorder="1" applyAlignment="1">
      <alignment horizontal="center" vertical="center"/>
    </xf>
    <xf numFmtId="0" fontId="6" fillId="4" borderId="5" xfId="0" quotePrefix="1" applyFont="1" applyFill="1" applyBorder="1" applyAlignment="1">
      <alignment horizontal="left" vertical="center" wrapText="1"/>
    </xf>
    <xf numFmtId="0" fontId="6" fillId="4" borderId="6" xfId="0" quotePrefix="1" applyFont="1" applyFill="1" applyBorder="1" applyAlignment="1">
      <alignment horizontal="center" vertical="center"/>
    </xf>
    <xf numFmtId="0" fontId="6" fillId="0" borderId="8" xfId="0" quotePrefix="1" applyFont="1" applyBorder="1" applyAlignment="1">
      <alignment horizontal="left" vertical="center"/>
    </xf>
    <xf numFmtId="0" fontId="7" fillId="4" borderId="8" xfId="0" quotePrefix="1" applyFont="1" applyFill="1" applyBorder="1" applyAlignment="1">
      <alignment horizontal="left" vertical="center"/>
    </xf>
    <xf numFmtId="0" fontId="7" fillId="4" borderId="11" xfId="0" quotePrefix="1" applyFont="1" applyFill="1" applyBorder="1" applyAlignment="1">
      <alignment horizontal="left" vertical="center"/>
    </xf>
    <xf numFmtId="0" fontId="7" fillId="4" borderId="12" xfId="0" quotePrefix="1" applyFont="1" applyFill="1" applyBorder="1" applyAlignment="1">
      <alignment horizontal="center" vertical="center"/>
    </xf>
    <xf numFmtId="0" fontId="6" fillId="0" borderId="26" xfId="0" quotePrefix="1" applyFont="1" applyBorder="1" applyAlignment="1">
      <alignment horizontal="left" vertical="center"/>
    </xf>
    <xf numFmtId="0" fontId="0" fillId="0" borderId="27" xfId="0" quotePrefix="1" applyBorder="1" applyAlignment="1">
      <alignment horizontal="center" vertical="center"/>
    </xf>
    <xf numFmtId="0" fontId="0" fillId="0" borderId="27" xfId="0" quotePrefix="1" applyNumberFormat="1" applyBorder="1" applyAlignment="1">
      <alignment horizontal="center" vertical="center"/>
    </xf>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31" xfId="0" applyFont="1" applyFill="1" applyBorder="1" applyAlignment="1">
      <alignment horizontal="center" vertical="center"/>
    </xf>
    <xf numFmtId="0" fontId="17" fillId="2" borderId="29" xfId="0" applyFont="1" applyFill="1" applyBorder="1" applyAlignment="1">
      <alignment horizontal="center" wrapText="1"/>
    </xf>
    <xf numFmtId="0" fontId="17" fillId="2" borderId="0" xfId="0" applyFont="1" applyFill="1" applyBorder="1" applyAlignment="1">
      <alignment horizontal="center" wrapText="1"/>
    </xf>
    <xf numFmtId="0" fontId="4" fillId="0" borderId="4" xfId="0" applyFont="1" applyBorder="1" applyAlignment="1">
      <alignment horizontal="center" vertical="center"/>
    </xf>
    <xf numFmtId="0" fontId="4" fillId="0" borderId="7" xfId="0" applyFont="1" applyBorder="1" applyAlignment="1">
      <alignment horizontal="center" vertical="center"/>
    </xf>
    <xf numFmtId="0" fontId="4" fillId="0" borderId="10" xfId="0" applyFont="1" applyBorder="1" applyAlignment="1">
      <alignment horizontal="center" vertical="center"/>
    </xf>
    <xf numFmtId="0" fontId="4" fillId="0" borderId="13" xfId="0" applyFont="1" applyBorder="1" applyAlignment="1">
      <alignment horizontal="center" vertical="center"/>
    </xf>
    <xf numFmtId="0" fontId="4" fillId="0" borderId="14" xfId="0" applyFont="1" applyBorder="1" applyAlignment="1">
      <alignment horizontal="center" vertical="center"/>
    </xf>
    <xf numFmtId="0" fontId="4" fillId="0" borderId="19" xfId="0" applyFont="1" applyBorder="1" applyAlignment="1">
      <alignment horizontal="center" vertical="center"/>
    </xf>
    <xf numFmtId="0" fontId="4" fillId="0" borderId="22" xfId="0" applyFont="1" applyBorder="1" applyAlignment="1">
      <alignment horizontal="center" vertical="center"/>
    </xf>
    <xf numFmtId="0" fontId="22" fillId="0" borderId="9" xfId="0" quotePrefix="1" applyFont="1" applyBorder="1" applyAlignment="1">
      <alignment horizontal="center" vertical="center"/>
    </xf>
    <xf numFmtId="0" fontId="24" fillId="0" borderId="33" xfId="0" applyFont="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lcsc.com/product-detail/Chip-Resistor-Surface-Mount_LIZ-Elec-CR0402JF0472G_C100658.html" TargetMode="External"/><Relationship Id="rId21" Type="http://schemas.openxmlformats.org/officeDocument/2006/relationships/hyperlink" Target="https://lcsc.com/product-detail/Chip-Resistor-Surface-Mount_YAGEO-RC0402FR-072KL_C60488.html" TargetMode="External"/><Relationship Id="rId34" Type="http://schemas.openxmlformats.org/officeDocument/2006/relationships/hyperlink" Target="https://lcsc.com/product-detail/Chip-Resistor-Surface-Mount_RALEC-RTT024022FTH_C103027.html" TargetMode="External"/><Relationship Id="rId42" Type="http://schemas.openxmlformats.org/officeDocument/2006/relationships/hyperlink" Target="https://lcsc.com/product-detail/USB-Connectors_Jing-Extension-of-the-Electronic-Co-920-E52A2021S10100_C10418.html" TargetMode="External"/><Relationship Id="rId47" Type="http://schemas.openxmlformats.org/officeDocument/2006/relationships/hyperlink" Target="https://lcsc.com/product-detail/Multilayer-Ceramic-Capacitors-MLCC-SMD-SMT_Murata-Electronics-GJM0335C1E200GB01D_C426116.html" TargetMode="External"/><Relationship Id="rId50" Type="http://schemas.openxmlformats.org/officeDocument/2006/relationships/hyperlink" Target="https://lcsc.com/product-detail/Aluminum-Electrolytic-Capacitors-SMD_Lelon-VE-101M1ETR-0806_C134725.html" TargetMode="External"/><Relationship Id="rId55" Type="http://schemas.openxmlformats.org/officeDocument/2006/relationships/hyperlink" Target="https://lcsc.com/product-detail/Current-Sense-Resistors-Shunt-Resistors_UNI-ROYAL-Uniroyal-Elec-CS05W4F680MT5E_C270861.html" TargetMode="External"/><Relationship Id="rId63" Type="http://schemas.openxmlformats.org/officeDocument/2006/relationships/hyperlink" Target="https://lcsc.com/product-detail/Multilayer-Ceramic-Capacitors-MLCC-SMD-SMT_YAGEO-CC0603KRX7R0BB223_C313105.html" TargetMode="External"/><Relationship Id="rId7" Type="http://schemas.openxmlformats.org/officeDocument/2006/relationships/hyperlink" Target="https://lcsc.com/product-detail/Multilayer-Ceramic-Capacitors-MLCC-SMD-SMT_Murata-Electronics-GRM155R61E105KA12D_C77009.html" TargetMode="External"/><Relationship Id="rId2" Type="http://schemas.openxmlformats.org/officeDocument/2006/relationships/hyperlink" Target="https://lcsc.com/product-detail/Aluminum-Electrolytic-Capacitors-SMD_ROQANG-RVT1E100M0405_C72484.html" TargetMode="External"/><Relationship Id="rId16" Type="http://schemas.openxmlformats.org/officeDocument/2006/relationships/hyperlink" Target="https://lcsc.com/product-detail/Slide-Switches_XKB-Connectivity-SS-12D11L5_C319010.html" TargetMode="External"/><Relationship Id="rId29" Type="http://schemas.openxmlformats.org/officeDocument/2006/relationships/hyperlink" Target="https://lcsc.com/product-detail/Chip-Resistor-Surface-Mount_YAGEO-RC0402FR-071ML_C138033.html" TargetMode="External"/><Relationship Id="rId11" Type="http://schemas.openxmlformats.org/officeDocument/2006/relationships/hyperlink" Target="https://lcsc.com/product-detail/Multilayer-Ceramic-Capacitors-MLCC-SMD-SMT_YAGEO-CC0402JRNPO9BN221_C107001.html" TargetMode="External"/><Relationship Id="rId24" Type="http://schemas.openxmlformats.org/officeDocument/2006/relationships/hyperlink" Target="https://lcsc.com/product-detail/Chip-Resistor-Surface-Mount_YAGEO-RC0402FR-07133KL_C327374.html" TargetMode="External"/><Relationship Id="rId32" Type="http://schemas.openxmlformats.org/officeDocument/2006/relationships/hyperlink" Target="https://lcsc.com/product-detail/Chip-Resistor-Surface-Mount_YAGEO-RC0402FR-0760K4L_C327333.html" TargetMode="External"/><Relationship Id="rId37" Type="http://schemas.openxmlformats.org/officeDocument/2006/relationships/hyperlink" Target="https://lcsc.com/product-detail/Audio-Power-OpAmps_Texas-Instruments-LM4890MX-NOPB_C117476.html" TargetMode="External"/><Relationship Id="rId40" Type="http://schemas.openxmlformats.org/officeDocument/2006/relationships/hyperlink" Target="https://lcsc.com/product-detail/DC-DC-Converters_Texas-Instruments-LMR62014XMF-NOPB_C55182.html" TargetMode="External"/><Relationship Id="rId45" Type="http://schemas.openxmlformats.org/officeDocument/2006/relationships/hyperlink" Target="https://lcsc.com/product-detail/Screw-terminal_Ningbo-Kangnex-Elec-WJ301V-5-0-3P_C8483.html" TargetMode="External"/><Relationship Id="rId53" Type="http://schemas.openxmlformats.org/officeDocument/2006/relationships/hyperlink" Target="https://lcsc.com/product-detail/Chip-Resistor-Surface-Mount_Resistor-Today-PTFR0402B49K9P9_C2692736.html" TargetMode="External"/><Relationship Id="rId58" Type="http://schemas.openxmlformats.org/officeDocument/2006/relationships/hyperlink" Target="https://pt.aliexpress.com/item/1005002673440755.html?spm=a2g0o.productlist.0.0.560452b9lcvMdc&amp;algo_pvid=76ca1be7-685b-41a2-8d60-c271f38d24fd&amp;algo_exp_id=76ca1be7-685b-41a2-8d60-c271f38d24fd-0&amp;pdp_ext_f=%7B%22sku_id%22%3A%2212000021651456792%22%7D&amp;pdp_pi=-" TargetMode="External"/><Relationship Id="rId66" Type="http://schemas.openxmlformats.org/officeDocument/2006/relationships/hyperlink" Target="https://www.nbleisonmotor.com/LS-SG555-37MM-Dc-Gear-Motor-pd6046204.html" TargetMode="External"/><Relationship Id="rId5" Type="http://schemas.openxmlformats.org/officeDocument/2006/relationships/hyperlink" Target="https://lcsc.com/product-detail/Multilayer-Ceramic-Capacitors-MLCC-SMD-SMT_YAGEO-CC0603JRNPO9BN250_C282067.html" TargetMode="External"/><Relationship Id="rId61" Type="http://schemas.openxmlformats.org/officeDocument/2006/relationships/hyperlink" Target="https://lcsc.com/product-detail/Schottky-Barrier-Diodes-SBD_TOSHIBA-CRS01-TE85L-Q-M_C146292.html" TargetMode="External"/><Relationship Id="rId19" Type="http://schemas.openxmlformats.org/officeDocument/2006/relationships/hyperlink" Target="https://lcsc.com/product-detail/Chip-Resistor-Surface-Mount_RALEC-RTT02471JTH_C103058.html" TargetMode="External"/><Relationship Id="rId14" Type="http://schemas.openxmlformats.org/officeDocument/2006/relationships/hyperlink" Target="https://lcsc.com/product-detail/MOSFETs_Diodes-Incorporated-ZVN3310FTA_C110533.html" TargetMode="External"/><Relationship Id="rId22" Type="http://schemas.openxmlformats.org/officeDocument/2006/relationships/hyperlink" Target="https://lcsc.com/product-detail/Chip-Resistor-Surface-Mount_YAGEO-AC0402FR-0780K6L_C227238.html" TargetMode="External"/><Relationship Id="rId27" Type="http://schemas.openxmlformats.org/officeDocument/2006/relationships/hyperlink" Target="https://lcsc.com/product-detail/Chip-Resistor-Surface-Mount_UNI-ROYAL-Uniroyal-Elec-0603WAF9103T5E_C23263.html" TargetMode="External"/><Relationship Id="rId30" Type="http://schemas.openxmlformats.org/officeDocument/2006/relationships/hyperlink" Target="https://lcsc.com/product-detail/Chip-Resistor-Surface-Mount_YAGEO-AC0402FR-07118KL_C144804.html" TargetMode="External"/><Relationship Id="rId35" Type="http://schemas.openxmlformats.org/officeDocument/2006/relationships/hyperlink" Target="https://lcsc.com/product-detail/Linear-Voltage-Regulators-LDO_MaxLinear-SPX3940AM3-L-3-3-TR_C48252.html" TargetMode="External"/><Relationship Id="rId43" Type="http://schemas.openxmlformats.org/officeDocument/2006/relationships/hyperlink" Target="https://lcsc.com/product-detail/Pin-Headers_Amphenol-ICC-20021121-00010C4LF_C150517.html" TargetMode="External"/><Relationship Id="rId48" Type="http://schemas.openxmlformats.org/officeDocument/2006/relationships/hyperlink" Target="https://lcsc.com/product-detail/MOSFETs_UMW-Youtai-Semiconductor-Co-Ltd-FDN338P_C347511.html" TargetMode="External"/><Relationship Id="rId56" Type="http://schemas.openxmlformats.org/officeDocument/2006/relationships/hyperlink" Target="https://www.win-source.net/littelfuse-inc.-sp3014-02utg.html" TargetMode="External"/><Relationship Id="rId64" Type="http://schemas.openxmlformats.org/officeDocument/2006/relationships/hyperlink" Target="https://lcsc.com/product-detail/Multilayer-Ceramic-Capacitors-MLCC-SMD-SMT_TDK-C1005X7R1H104KT000F_C361198.html" TargetMode="External"/><Relationship Id="rId8" Type="http://schemas.openxmlformats.org/officeDocument/2006/relationships/hyperlink" Target="https://lcsc.com/product-detail/Multilayer-Ceramic-Capacitors-MLCC-SMD-SMT_Samsung-Electro-Mechanics-CL10A475KA8NQNC_C69335.html" TargetMode="External"/><Relationship Id="rId51" Type="http://schemas.openxmlformats.org/officeDocument/2006/relationships/hyperlink" Target="https://lcsc.com/product-detail/Chip-Resistor-Surface-Mount_LIZ-Elec-CR0201JH0152G_C100153.html" TargetMode="External"/><Relationship Id="rId3" Type="http://schemas.openxmlformats.org/officeDocument/2006/relationships/hyperlink" Target="https://lcsc.com/product-detail/Multilayer-Ceramic-Capacitors-MLCC-SMD-SMT_Murata-Electronics-GRM21BR61E226ME44L_C86816.html" TargetMode="External"/><Relationship Id="rId12" Type="http://schemas.openxmlformats.org/officeDocument/2006/relationships/hyperlink" Target="https://lcsc.com/product-detail/Light-Emitting-Diodes-LED_TOGIALED-TJ-S1005SW4TGLC2R-A5_C273598.html" TargetMode="External"/><Relationship Id="rId17" Type="http://schemas.openxmlformats.org/officeDocument/2006/relationships/hyperlink" Target="https://lcsc.com/product-detail/Tactile-Switches_Omron-Electronics-B3U-1000P_C231329.html" TargetMode="External"/><Relationship Id="rId25" Type="http://schemas.openxmlformats.org/officeDocument/2006/relationships/hyperlink" Target="https://lcsc.com/product-detail/Chip-Resistor-Surface-Mount_YAGEO-RC0402JR-070RL_C60485.html" TargetMode="External"/><Relationship Id="rId33" Type="http://schemas.openxmlformats.org/officeDocument/2006/relationships/hyperlink" Target="https://lcsc.com/product-detail/Chip-Resistor-Surface-Mount_YAGEO-AC0402FR-0762KL_C144742.html" TargetMode="External"/><Relationship Id="rId38" Type="http://schemas.openxmlformats.org/officeDocument/2006/relationships/hyperlink" Target="https://lcsc.com/product-detail/Real-time-Clocks-RTC_Microchip-Tech-MCP7940N-I-SN_C51106.html" TargetMode="External"/><Relationship Id="rId46" Type="http://schemas.openxmlformats.org/officeDocument/2006/relationships/hyperlink" Target="https://lcsc.com/product-detail/Screw-terminal_Ningbo-Kangnex-Elec-WJ301V-5-0-2P_C8475.html" TargetMode="External"/><Relationship Id="rId59" Type="http://schemas.openxmlformats.org/officeDocument/2006/relationships/hyperlink" Target="https://www.alibaba.com/product-detail/FPC-Connector-0-5mm-pitch-24pin_1600228276659.html" TargetMode="External"/><Relationship Id="rId67" Type="http://schemas.openxmlformats.org/officeDocument/2006/relationships/printerSettings" Target="../printerSettings/printerSettings1.bin"/><Relationship Id="rId20" Type="http://schemas.openxmlformats.org/officeDocument/2006/relationships/hyperlink" Target="https://lcsc.com/product-detail/Chip-Resistor-Surface-Mount_YAGEO-RC0402JR-0720KL_C137902.html" TargetMode="External"/><Relationship Id="rId41" Type="http://schemas.openxmlformats.org/officeDocument/2006/relationships/hyperlink" Target="https://lcsc.com/product-detail/AC-DC-Power-Connectors_XKB-Connectivity-DC-005-5A-2-5-SMT_C319133.html" TargetMode="External"/><Relationship Id="rId54" Type="http://schemas.openxmlformats.org/officeDocument/2006/relationships/hyperlink" Target="https://lcsc.com/product-detail/Chip-Resistor-Surface-Mount_UNI-ROYAL-Uniroyal-Elec-HP02WAJ0102TCE_C2759467.html" TargetMode="External"/><Relationship Id="rId62" Type="http://schemas.openxmlformats.org/officeDocument/2006/relationships/hyperlink" Target="https://www.win-source.net/crystals-nx3215sa-32.768k-std-mua-8.html" TargetMode="External"/><Relationship Id="rId1" Type="http://schemas.openxmlformats.org/officeDocument/2006/relationships/hyperlink" Target="https://lcsc.com/product-detail/Aluminum-Electrolytic-Capacitors-SMD_PANASONIC-EEEHB1E6R8R_C336258.html" TargetMode="External"/><Relationship Id="rId6" Type="http://schemas.openxmlformats.org/officeDocument/2006/relationships/hyperlink" Target="https://lcsc.com/product-detail/Tantalum-Capacitors_AVX-TAJB475K035RNJ_C7206.html" TargetMode="External"/><Relationship Id="rId15" Type="http://schemas.openxmlformats.org/officeDocument/2006/relationships/hyperlink" Target="https://lcsc.com/product-detail/MOSFETs_UMW-Youtai-Semiconductor-Co-Ltd-FDN335N_C347512.html" TargetMode="External"/><Relationship Id="rId23" Type="http://schemas.openxmlformats.org/officeDocument/2006/relationships/hyperlink" Target="https://lcsc.com/product-detail/Chip-Resistor-Surface-Mount_YAGEO-AC0402FR-0730K9L_C226983.html" TargetMode="External"/><Relationship Id="rId28" Type="http://schemas.openxmlformats.org/officeDocument/2006/relationships/hyperlink" Target="https://lcsc.com/product-detail/Chip-Resistor-Surface-Mount_YAGEO-RC0402FR-0747KL_C93943.html" TargetMode="External"/><Relationship Id="rId36" Type="http://schemas.openxmlformats.org/officeDocument/2006/relationships/hyperlink" Target="https://lcsc.com/product-detail/Comparators_STMicroelectronics-LM393DT_C32901.html" TargetMode="External"/><Relationship Id="rId49" Type="http://schemas.openxmlformats.org/officeDocument/2006/relationships/hyperlink" Target="https://www.utsource.net/itm/p/11294386.html" TargetMode="External"/><Relationship Id="rId57" Type="http://schemas.openxmlformats.org/officeDocument/2006/relationships/hyperlink" Target="https://pt.aliexpress.com/item/1005002675489873.html?spm=a2g0o.productlist.0.0.4ab021a2DIs1yU&amp;algo_pvid=b9e84140-8952-46f8-9655-7bc69a6d3621&amp;algo_exp_id=b9e84140-8952-46f8-9655-7bc69a6d3621-0&amp;pdp_ext_f=%7B%22sku_id%22%3A%2212000021660656154%22%7D&amp;pdp_pi=-" TargetMode="External"/><Relationship Id="rId10" Type="http://schemas.openxmlformats.org/officeDocument/2006/relationships/hyperlink" Target="https://lcsc.com/product-detail/Tantalum-Capacitors_ROHM-Semicon-TCTU1D334M8R_C209647.html" TargetMode="External"/><Relationship Id="rId31" Type="http://schemas.openxmlformats.org/officeDocument/2006/relationships/hyperlink" Target="https://lcsc.com/product-detail/Chip-Resistor-Surface-Mount_YAGEO-RC0402FR-0713K3L_C274352.html" TargetMode="External"/><Relationship Id="rId44" Type="http://schemas.openxmlformats.org/officeDocument/2006/relationships/hyperlink" Target="https://lcsc.com/product-detail/Battery-Connectors_Q-J-CR1220-2_C70381.html" TargetMode="External"/><Relationship Id="rId52" Type="http://schemas.openxmlformats.org/officeDocument/2006/relationships/hyperlink" Target="https://lcsc.com/product-detail/Chip-Resistor-Surface-Mount_FH-Guangdong-Fenghua-Advanced-Tech-RC-02W103JT_C140214.html" TargetMode="External"/><Relationship Id="rId60" Type="http://schemas.openxmlformats.org/officeDocument/2006/relationships/hyperlink" Target="https://lcsc.com/product-detail/Wire-To-Board-Wire-To-Wire-Connector_BOOMELE-Boom-Precision-Elec-EH-2A_C66603.html" TargetMode="External"/><Relationship Id="rId65" Type="http://schemas.openxmlformats.org/officeDocument/2006/relationships/hyperlink" Target="https://lcsc.com/product-detail/Schottky-Barrier-Diodes-SBD_ROHM-Semicon-RB060M-30TR_C559324.html" TargetMode="External"/><Relationship Id="rId4" Type="http://schemas.openxmlformats.org/officeDocument/2006/relationships/hyperlink" Target="https://lcsc.com/product-detail/Tantalum-Capacitors_ROHM-Semicon-TCP1A105M8R_C1952948.html" TargetMode="External"/><Relationship Id="rId9" Type="http://schemas.openxmlformats.org/officeDocument/2006/relationships/hyperlink" Target="https://lcsc.com/product-detail/Multilayer-Ceramic-Capacitors-MLCC-SMD-SMT_Taiyo-Yuden-EMK105ABJ225KV-F_C385887.html" TargetMode="External"/><Relationship Id="rId13" Type="http://schemas.openxmlformats.org/officeDocument/2006/relationships/hyperlink" Target="https://lcsc.com/product-detail/MOSFETs_Nexperia-PMV65XP-215_C75561.html" TargetMode="External"/><Relationship Id="rId18" Type="http://schemas.openxmlformats.org/officeDocument/2006/relationships/hyperlink" Target="https://lcsc.com/product-detail/Power-Inductors_COILMX-MS0420-100M_C380158.html" TargetMode="External"/><Relationship Id="rId39" Type="http://schemas.openxmlformats.org/officeDocument/2006/relationships/hyperlink" Target="https://lcsc.com/product-detail/Battery-Management-ICs_Texas-Instruments-BQ2057WSNTR_C32756.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77"/>
  <sheetViews>
    <sheetView tabSelected="1" topLeftCell="P39" zoomScale="110" zoomScaleNormal="110" workbookViewId="0">
      <selection activeCell="W44" sqref="W44"/>
    </sheetView>
  </sheetViews>
  <sheetFormatPr defaultColWidth="9.140625" defaultRowHeight="15"/>
  <cols>
    <col min="1" max="1" width="6.140625" style="4" customWidth="1"/>
    <col min="2" max="2" width="19.7109375" style="4" customWidth="1"/>
    <col min="3" max="3" width="59" style="4" customWidth="1"/>
    <col min="4" max="4" width="54.140625" style="4" customWidth="1"/>
    <col min="5" max="5" width="27.7109375" style="4" customWidth="1"/>
    <col min="6" max="6" width="30.85546875" style="4" customWidth="1"/>
    <col min="7" max="7" width="28.7109375" style="4" customWidth="1"/>
    <col min="8" max="8" width="20.42578125" style="4" customWidth="1"/>
    <col min="9" max="9" width="21.28515625" style="4" customWidth="1"/>
    <col min="10" max="10" width="7" style="4" customWidth="1"/>
    <col min="11" max="11" width="15.5703125" style="4" customWidth="1"/>
    <col min="12" max="12" width="13.140625" style="4" customWidth="1"/>
    <col min="13" max="13" width="14.42578125" style="4" customWidth="1"/>
    <col min="14" max="14" width="15.7109375" style="4" customWidth="1"/>
    <col min="15" max="17" width="11.85546875" style="5" customWidth="1"/>
    <col min="18" max="18" width="15.7109375" style="4" customWidth="1"/>
    <col min="19" max="19" width="13.42578125" style="4" customWidth="1"/>
    <col min="20" max="20" width="12" style="4" customWidth="1"/>
    <col min="21" max="21" width="14.85546875" style="4" customWidth="1"/>
    <col min="22" max="22" width="12.7109375" style="4" customWidth="1"/>
    <col min="23" max="23" width="16" style="4" customWidth="1"/>
    <col min="24" max="24" width="12.85546875" style="4" customWidth="1"/>
    <col min="25" max="25" width="37.140625" style="4" customWidth="1"/>
    <col min="26" max="16384" width="9.140625" style="4"/>
  </cols>
  <sheetData>
    <row r="1" spans="1:26" s="1" customFormat="1" ht="15.75">
      <c r="A1" s="168" t="s">
        <v>0</v>
      </c>
      <c r="B1" s="169"/>
      <c r="C1" s="169"/>
      <c r="D1" s="169"/>
      <c r="E1" s="169"/>
      <c r="F1" s="169"/>
      <c r="G1" s="169"/>
      <c r="H1" s="169"/>
      <c r="I1" s="169"/>
      <c r="J1" s="169"/>
      <c r="K1" s="169"/>
      <c r="L1" s="169"/>
      <c r="M1" s="169"/>
      <c r="N1" s="169"/>
      <c r="O1" s="169"/>
      <c r="P1" s="169"/>
      <c r="Q1" s="169"/>
      <c r="R1" s="169"/>
      <c r="S1" s="169"/>
      <c r="T1" s="169"/>
      <c r="U1" s="169"/>
      <c r="V1" s="169"/>
      <c r="W1" s="169"/>
      <c r="X1" s="169"/>
      <c r="Y1" s="170"/>
    </row>
    <row r="2" spans="1:26" s="2" customFormat="1" ht="15.75">
      <c r="A2" s="6" t="s">
        <v>1</v>
      </c>
      <c r="B2" s="6" t="s">
        <v>2</v>
      </c>
      <c r="C2" s="6" t="s">
        <v>3</v>
      </c>
      <c r="D2" s="6" t="s">
        <v>4</v>
      </c>
      <c r="E2" s="6" t="s">
        <v>5</v>
      </c>
      <c r="F2" s="6" t="s">
        <v>6</v>
      </c>
      <c r="G2" s="6" t="s">
        <v>7</v>
      </c>
      <c r="H2" s="6" t="s">
        <v>8</v>
      </c>
      <c r="I2" s="6" t="s">
        <v>9</v>
      </c>
      <c r="J2" s="6" t="s">
        <v>10</v>
      </c>
      <c r="K2" s="6" t="s">
        <v>11</v>
      </c>
      <c r="L2" s="6" t="s">
        <v>12</v>
      </c>
      <c r="M2" s="6" t="s">
        <v>13</v>
      </c>
      <c r="N2" s="6" t="s">
        <v>14</v>
      </c>
      <c r="O2" s="27" t="s">
        <v>15</v>
      </c>
      <c r="P2" s="27" t="s">
        <v>16</v>
      </c>
      <c r="Q2" s="27" t="s">
        <v>17</v>
      </c>
      <c r="R2" s="6" t="s">
        <v>18</v>
      </c>
      <c r="S2" s="6" t="s">
        <v>19</v>
      </c>
      <c r="T2" s="6" t="s">
        <v>20</v>
      </c>
      <c r="U2" s="6" t="s">
        <v>21</v>
      </c>
      <c r="V2" s="6" t="s">
        <v>20</v>
      </c>
      <c r="W2" s="6" t="s">
        <v>22</v>
      </c>
      <c r="X2" s="6" t="s">
        <v>20</v>
      </c>
      <c r="Y2" s="6" t="s">
        <v>23</v>
      </c>
      <c r="Z2" s="4"/>
    </row>
    <row r="3" spans="1:26">
      <c r="A3" s="7">
        <v>1</v>
      </c>
      <c r="B3" s="173" t="s">
        <v>24</v>
      </c>
      <c r="C3" s="121" t="s">
        <v>25</v>
      </c>
      <c r="D3" s="122" t="s">
        <v>26</v>
      </c>
      <c r="E3" s="123" t="s">
        <v>27</v>
      </c>
      <c r="F3" s="123" t="s">
        <v>28</v>
      </c>
      <c r="G3" s="10" t="s">
        <v>29</v>
      </c>
      <c r="H3" s="10" t="s">
        <v>30</v>
      </c>
      <c r="I3" s="28" t="s">
        <v>31</v>
      </c>
      <c r="J3" s="123" t="s">
        <v>32</v>
      </c>
      <c r="K3" s="10">
        <v>1</v>
      </c>
      <c r="L3" s="10">
        <f t="shared" ref="L3:L18" si="0">K3*5</f>
        <v>5</v>
      </c>
      <c r="M3" s="10">
        <f t="shared" ref="M3:M18" si="1">K3*50</f>
        <v>50</v>
      </c>
      <c r="N3" s="10">
        <f t="shared" ref="N3:N18" si="2">K3*100</f>
        <v>100</v>
      </c>
      <c r="O3" s="29">
        <v>10</v>
      </c>
      <c r="P3" s="29">
        <v>60</v>
      </c>
      <c r="Q3" s="29">
        <v>110</v>
      </c>
      <c r="R3" s="57" t="s">
        <v>33</v>
      </c>
      <c r="S3" s="58">
        <v>7.1300000000000002E-2</v>
      </c>
      <c r="T3" s="59">
        <f t="shared" ref="T3:T18" si="3">S3*O3</f>
        <v>0.71300000000000008</v>
      </c>
      <c r="U3" s="59">
        <v>6.0199999999999997E-2</v>
      </c>
      <c r="V3" s="59">
        <f t="shared" ref="V3:V18" si="4">U3*P3</f>
        <v>3.6119999999999997</v>
      </c>
      <c r="W3" s="59">
        <v>5.0900000000000001E-2</v>
      </c>
      <c r="X3" s="59">
        <f t="shared" ref="X3:X18" si="5">W3*Q3</f>
        <v>5.5990000000000002</v>
      </c>
      <c r="Y3" s="91"/>
    </row>
    <row r="4" spans="1:26">
      <c r="A4" s="7">
        <v>2</v>
      </c>
      <c r="B4" s="174"/>
      <c r="C4" s="124" t="s">
        <v>34</v>
      </c>
      <c r="D4" s="125" t="s">
        <v>35</v>
      </c>
      <c r="E4" s="126" t="s">
        <v>27</v>
      </c>
      <c r="F4" s="126" t="s">
        <v>36</v>
      </c>
      <c r="G4" s="11" t="s">
        <v>37</v>
      </c>
      <c r="H4" s="11" t="s">
        <v>38</v>
      </c>
      <c r="I4" s="30" t="s">
        <v>31</v>
      </c>
      <c r="J4" s="126" t="s">
        <v>39</v>
      </c>
      <c r="K4" s="11">
        <v>1</v>
      </c>
      <c r="L4" s="11">
        <f t="shared" si="0"/>
        <v>5</v>
      </c>
      <c r="M4" s="11">
        <f t="shared" si="1"/>
        <v>50</v>
      </c>
      <c r="N4" s="11">
        <f t="shared" si="2"/>
        <v>100</v>
      </c>
      <c r="O4" s="31">
        <v>20</v>
      </c>
      <c r="P4" s="31">
        <v>60</v>
      </c>
      <c r="Q4" s="31">
        <v>120</v>
      </c>
      <c r="R4" s="60" t="s">
        <v>33</v>
      </c>
      <c r="S4" s="61">
        <v>3.8800000000000001E-2</v>
      </c>
      <c r="T4" s="61">
        <f t="shared" si="3"/>
        <v>0.77600000000000002</v>
      </c>
      <c r="U4" s="61">
        <v>3.8800000000000001E-2</v>
      </c>
      <c r="V4" s="61">
        <f t="shared" si="4"/>
        <v>2.3280000000000003</v>
      </c>
      <c r="W4" s="61">
        <v>3.8800000000000001E-2</v>
      </c>
      <c r="X4" s="61">
        <f t="shared" si="5"/>
        <v>4.6560000000000006</v>
      </c>
      <c r="Y4" s="92"/>
    </row>
    <row r="5" spans="1:26" ht="63.75">
      <c r="A5" s="7">
        <v>3</v>
      </c>
      <c r="B5" s="174"/>
      <c r="C5" s="124" t="s">
        <v>40</v>
      </c>
      <c r="D5" s="127" t="s">
        <v>41</v>
      </c>
      <c r="E5" s="126" t="s">
        <v>42</v>
      </c>
      <c r="F5" s="128" t="s">
        <v>43</v>
      </c>
      <c r="G5" s="11" t="s">
        <v>44</v>
      </c>
      <c r="H5" s="11" t="s">
        <v>45</v>
      </c>
      <c r="I5" s="30" t="s">
        <v>46</v>
      </c>
      <c r="J5" s="126" t="s">
        <v>47</v>
      </c>
      <c r="K5" s="11">
        <v>17</v>
      </c>
      <c r="L5" s="11">
        <f t="shared" si="0"/>
        <v>85</v>
      </c>
      <c r="M5" s="11">
        <f t="shared" si="1"/>
        <v>850</v>
      </c>
      <c r="N5" s="11">
        <f t="shared" si="2"/>
        <v>1700</v>
      </c>
      <c r="O5" s="31">
        <v>100</v>
      </c>
      <c r="P5" s="31">
        <v>900</v>
      </c>
      <c r="Q5" s="31">
        <v>1750</v>
      </c>
      <c r="R5" s="62" t="s">
        <v>33</v>
      </c>
      <c r="S5" s="61">
        <v>1.8700000000000001E-2</v>
      </c>
      <c r="T5" s="61">
        <f t="shared" si="3"/>
        <v>1.87</v>
      </c>
      <c r="U5" s="61">
        <v>1.6E-2</v>
      </c>
      <c r="V5" s="61">
        <f t="shared" si="4"/>
        <v>14.4</v>
      </c>
      <c r="W5" s="61">
        <v>1.4E-2</v>
      </c>
      <c r="X5" s="61">
        <f t="shared" si="5"/>
        <v>24.5</v>
      </c>
      <c r="Y5" s="93" t="s">
        <v>48</v>
      </c>
    </row>
    <row r="6" spans="1:26">
      <c r="A6" s="7">
        <v>4</v>
      </c>
      <c r="B6" s="174"/>
      <c r="C6" s="124" t="s">
        <v>49</v>
      </c>
      <c r="D6" s="125" t="s">
        <v>50</v>
      </c>
      <c r="E6" s="126" t="s">
        <v>51</v>
      </c>
      <c r="F6" s="126" t="s">
        <v>52</v>
      </c>
      <c r="G6" s="11" t="s">
        <v>53</v>
      </c>
      <c r="H6" s="11" t="s">
        <v>54</v>
      </c>
      <c r="I6" s="30" t="s">
        <v>31</v>
      </c>
      <c r="J6" s="126" t="s">
        <v>55</v>
      </c>
      <c r="K6" s="11">
        <v>2</v>
      </c>
      <c r="L6" s="11">
        <f t="shared" si="0"/>
        <v>10</v>
      </c>
      <c r="M6" s="11">
        <f t="shared" si="1"/>
        <v>100</v>
      </c>
      <c r="N6" s="11">
        <f t="shared" si="2"/>
        <v>200</v>
      </c>
      <c r="O6" s="31">
        <v>15</v>
      </c>
      <c r="P6" s="31">
        <v>110</v>
      </c>
      <c r="Q6" s="31">
        <v>210</v>
      </c>
      <c r="R6" s="60" t="s">
        <v>33</v>
      </c>
      <c r="S6" s="61">
        <v>8.8900000000000007E-2</v>
      </c>
      <c r="T6" s="61">
        <f t="shared" si="3"/>
        <v>1.3335000000000001</v>
      </c>
      <c r="U6" s="61">
        <v>7.46E-2</v>
      </c>
      <c r="V6" s="61">
        <f t="shared" si="4"/>
        <v>8.2059999999999995</v>
      </c>
      <c r="W6" s="61">
        <v>6.2899999999999998E-2</v>
      </c>
      <c r="X6" s="61">
        <f t="shared" si="5"/>
        <v>13.209</v>
      </c>
      <c r="Y6" s="92"/>
    </row>
    <row r="7" spans="1:26">
      <c r="A7" s="7">
        <v>5</v>
      </c>
      <c r="B7" s="174"/>
      <c r="C7" s="124" t="s">
        <v>56</v>
      </c>
      <c r="D7" s="125" t="s">
        <v>57</v>
      </c>
      <c r="E7" s="126" t="s">
        <v>51</v>
      </c>
      <c r="F7" s="126" t="s">
        <v>58</v>
      </c>
      <c r="G7" s="11" t="s">
        <v>59</v>
      </c>
      <c r="H7" s="11" t="s">
        <v>60</v>
      </c>
      <c r="I7" s="30" t="s">
        <v>31</v>
      </c>
      <c r="J7" s="126" t="s">
        <v>61</v>
      </c>
      <c r="K7" s="11">
        <v>2</v>
      </c>
      <c r="L7" s="11">
        <f t="shared" si="0"/>
        <v>10</v>
      </c>
      <c r="M7" s="11">
        <f t="shared" si="1"/>
        <v>100</v>
      </c>
      <c r="N7" s="11">
        <f t="shared" si="2"/>
        <v>200</v>
      </c>
      <c r="O7" s="31">
        <v>15</v>
      </c>
      <c r="P7" s="31">
        <v>110</v>
      </c>
      <c r="Q7" s="31">
        <v>210</v>
      </c>
      <c r="R7" s="60" t="s">
        <v>33</v>
      </c>
      <c r="S7" s="61">
        <v>0.2525</v>
      </c>
      <c r="T7" s="61">
        <f t="shared" si="3"/>
        <v>3.7875000000000001</v>
      </c>
      <c r="U7" s="61">
        <v>0.18279999999999999</v>
      </c>
      <c r="V7" s="61">
        <f t="shared" si="4"/>
        <v>20.108000000000001</v>
      </c>
      <c r="W7" s="61">
        <v>0.18279999999999999</v>
      </c>
      <c r="X7" s="61">
        <f t="shared" si="5"/>
        <v>38.387999999999998</v>
      </c>
      <c r="Y7" s="92"/>
    </row>
    <row r="8" spans="1:26">
      <c r="A8" s="7">
        <v>6</v>
      </c>
      <c r="B8" s="174"/>
      <c r="C8" s="124" t="s">
        <v>62</v>
      </c>
      <c r="D8" s="125" t="s">
        <v>63</v>
      </c>
      <c r="E8" s="126" t="s">
        <v>64</v>
      </c>
      <c r="F8" s="126" t="s">
        <v>65</v>
      </c>
      <c r="G8" s="11" t="s">
        <v>66</v>
      </c>
      <c r="H8" s="11" t="s">
        <v>67</v>
      </c>
      <c r="I8" s="30" t="s">
        <v>31</v>
      </c>
      <c r="J8" s="126" t="s">
        <v>68</v>
      </c>
      <c r="K8" s="11">
        <v>1</v>
      </c>
      <c r="L8" s="11">
        <f t="shared" si="0"/>
        <v>5</v>
      </c>
      <c r="M8" s="11">
        <f t="shared" si="1"/>
        <v>50</v>
      </c>
      <c r="N8" s="11">
        <f t="shared" si="2"/>
        <v>100</v>
      </c>
      <c r="O8" s="31">
        <v>50</v>
      </c>
      <c r="P8" s="31">
        <v>100</v>
      </c>
      <c r="Q8" s="31">
        <v>150</v>
      </c>
      <c r="R8" s="60" t="s">
        <v>33</v>
      </c>
      <c r="S8" s="61">
        <v>5.7999999999999996E-3</v>
      </c>
      <c r="T8" s="61">
        <f t="shared" si="3"/>
        <v>0.28999999999999998</v>
      </c>
      <c r="U8" s="61">
        <v>5.7999999999999996E-3</v>
      </c>
      <c r="V8" s="61">
        <f t="shared" si="4"/>
        <v>0.57999999999999996</v>
      </c>
      <c r="W8" s="61">
        <v>5.7999999999999996E-3</v>
      </c>
      <c r="X8" s="61">
        <f t="shared" si="5"/>
        <v>0.86999999999999988</v>
      </c>
      <c r="Y8" s="92"/>
    </row>
    <row r="9" spans="1:26">
      <c r="A9" s="7">
        <v>7</v>
      </c>
      <c r="B9" s="174"/>
      <c r="C9" s="124" t="s">
        <v>69</v>
      </c>
      <c r="D9" s="125" t="s">
        <v>70</v>
      </c>
      <c r="E9" s="126" t="s">
        <v>71</v>
      </c>
      <c r="F9" s="129" t="s">
        <v>72</v>
      </c>
      <c r="G9" s="11" t="s">
        <v>53</v>
      </c>
      <c r="H9" s="11" t="s">
        <v>73</v>
      </c>
      <c r="I9" s="126" t="s">
        <v>74</v>
      </c>
      <c r="J9" s="126" t="s">
        <v>75</v>
      </c>
      <c r="K9" s="11">
        <v>4</v>
      </c>
      <c r="L9" s="11">
        <f t="shared" si="0"/>
        <v>20</v>
      </c>
      <c r="M9" s="11">
        <f t="shared" si="1"/>
        <v>200</v>
      </c>
      <c r="N9" s="11">
        <f t="shared" si="2"/>
        <v>400</v>
      </c>
      <c r="O9" s="31">
        <v>50</v>
      </c>
      <c r="P9" s="31">
        <v>250</v>
      </c>
      <c r="Q9" s="31">
        <v>450</v>
      </c>
      <c r="R9" s="60" t="s">
        <v>33</v>
      </c>
      <c r="S9" s="61">
        <v>1.9300000000000001E-2</v>
      </c>
      <c r="T9" s="61">
        <f t="shared" si="3"/>
        <v>0.96500000000000008</v>
      </c>
      <c r="U9" s="61">
        <v>1.9300000000000001E-2</v>
      </c>
      <c r="V9" s="61">
        <f t="shared" si="4"/>
        <v>4.8250000000000002</v>
      </c>
      <c r="W9" s="63">
        <v>1.6299999999999999E-2</v>
      </c>
      <c r="X9" s="61">
        <f t="shared" si="5"/>
        <v>7.3349999999999991</v>
      </c>
      <c r="Y9" s="92"/>
    </row>
    <row r="10" spans="1:26">
      <c r="A10" s="7">
        <v>8</v>
      </c>
      <c r="B10" s="174"/>
      <c r="C10" s="124" t="s">
        <v>76</v>
      </c>
      <c r="D10" s="125" t="s">
        <v>77</v>
      </c>
      <c r="E10" s="126" t="s">
        <v>64</v>
      </c>
      <c r="F10" s="129" t="s">
        <v>78</v>
      </c>
      <c r="G10" s="11" t="s">
        <v>79</v>
      </c>
      <c r="H10" s="11" t="s">
        <v>80</v>
      </c>
      <c r="I10" s="126" t="s">
        <v>81</v>
      </c>
      <c r="J10" s="126" t="s">
        <v>82</v>
      </c>
      <c r="K10" s="11">
        <v>1</v>
      </c>
      <c r="L10" s="11">
        <f t="shared" si="0"/>
        <v>5</v>
      </c>
      <c r="M10" s="11">
        <f t="shared" si="1"/>
        <v>50</v>
      </c>
      <c r="N10" s="11">
        <f t="shared" si="2"/>
        <v>100</v>
      </c>
      <c r="O10" s="31">
        <v>50</v>
      </c>
      <c r="P10" s="31">
        <v>100</v>
      </c>
      <c r="Q10" s="31">
        <v>150</v>
      </c>
      <c r="R10" s="60" t="s">
        <v>33</v>
      </c>
      <c r="S10" s="61">
        <v>1.03E-2</v>
      </c>
      <c r="T10" s="61">
        <f t="shared" si="3"/>
        <v>0.51500000000000001</v>
      </c>
      <c r="U10" s="61">
        <v>1.03E-2</v>
      </c>
      <c r="V10" s="61">
        <f t="shared" si="4"/>
        <v>1.03</v>
      </c>
      <c r="W10" s="61">
        <v>1.03E-2</v>
      </c>
      <c r="X10" s="61">
        <f t="shared" si="5"/>
        <v>1.5449999999999999</v>
      </c>
      <c r="Y10" s="92"/>
    </row>
    <row r="11" spans="1:26">
      <c r="A11" s="7">
        <v>9</v>
      </c>
      <c r="B11" s="174"/>
      <c r="C11" s="124" t="s">
        <v>83</v>
      </c>
      <c r="D11" s="125" t="s">
        <v>84</v>
      </c>
      <c r="E11" s="126" t="s">
        <v>85</v>
      </c>
      <c r="F11" s="126" t="s">
        <v>86</v>
      </c>
      <c r="G11" s="11" t="s">
        <v>87</v>
      </c>
      <c r="H11" s="11" t="s">
        <v>88</v>
      </c>
      <c r="I11" s="126" t="s">
        <v>31</v>
      </c>
      <c r="J11" s="126" t="s">
        <v>89</v>
      </c>
      <c r="K11" s="11">
        <v>1</v>
      </c>
      <c r="L11" s="11">
        <f t="shared" si="0"/>
        <v>5</v>
      </c>
      <c r="M11" s="11">
        <f t="shared" si="1"/>
        <v>50</v>
      </c>
      <c r="N11" s="11">
        <f t="shared" si="2"/>
        <v>100</v>
      </c>
      <c r="O11" s="31">
        <v>7</v>
      </c>
      <c r="P11" s="31">
        <v>60</v>
      </c>
      <c r="Q11" s="31">
        <v>110</v>
      </c>
      <c r="R11" s="60" t="s">
        <v>33</v>
      </c>
      <c r="S11" s="63">
        <v>0.24529999999999999</v>
      </c>
      <c r="T11" s="61">
        <f t="shared" si="3"/>
        <v>1.7170999999999998</v>
      </c>
      <c r="U11" s="61">
        <v>0.16950000000000001</v>
      </c>
      <c r="V11" s="61">
        <f t="shared" si="4"/>
        <v>10.17</v>
      </c>
      <c r="W11" s="61">
        <v>0.14330000000000001</v>
      </c>
      <c r="X11" s="61">
        <f t="shared" si="5"/>
        <v>15.763000000000002</v>
      </c>
      <c r="Y11" s="92"/>
    </row>
    <row r="12" spans="1:26" s="3" customFormat="1">
      <c r="A12" s="7">
        <v>10</v>
      </c>
      <c r="B12" s="174"/>
      <c r="C12" s="130" t="s">
        <v>90</v>
      </c>
      <c r="D12" s="131" t="s">
        <v>91</v>
      </c>
      <c r="E12" s="132" t="s">
        <v>27</v>
      </c>
      <c r="F12" s="133" t="s">
        <v>92</v>
      </c>
      <c r="G12" s="13" t="s">
        <v>93</v>
      </c>
      <c r="H12" s="15" t="s">
        <v>94</v>
      </c>
      <c r="I12" s="132" t="s">
        <v>95</v>
      </c>
      <c r="J12" s="132" t="s">
        <v>96</v>
      </c>
      <c r="K12" s="13">
        <v>1</v>
      </c>
      <c r="L12" s="13">
        <f t="shared" si="0"/>
        <v>5</v>
      </c>
      <c r="M12" s="13">
        <f t="shared" si="1"/>
        <v>50</v>
      </c>
      <c r="N12" s="13">
        <f t="shared" si="2"/>
        <v>100</v>
      </c>
      <c r="O12" s="32">
        <v>20</v>
      </c>
      <c r="P12" s="32">
        <v>150</v>
      </c>
      <c r="Q12" s="32">
        <v>300</v>
      </c>
      <c r="R12" s="64" t="s">
        <v>33</v>
      </c>
      <c r="S12" s="65">
        <v>0.1245</v>
      </c>
      <c r="T12" s="65">
        <f t="shared" si="3"/>
        <v>2.4900000000000002</v>
      </c>
      <c r="U12" s="66">
        <v>8.7900000000000006E-2</v>
      </c>
      <c r="V12" s="65">
        <f t="shared" si="4"/>
        <v>13.185</v>
      </c>
      <c r="W12" s="65">
        <v>0.1033</v>
      </c>
      <c r="X12" s="65">
        <f t="shared" si="5"/>
        <v>30.990000000000002</v>
      </c>
      <c r="Y12" s="94" t="s">
        <v>97</v>
      </c>
    </row>
    <row r="13" spans="1:26">
      <c r="A13" s="7">
        <v>11</v>
      </c>
      <c r="B13" s="174"/>
      <c r="C13" s="124" t="s">
        <v>98</v>
      </c>
      <c r="D13" s="125" t="s">
        <v>99</v>
      </c>
      <c r="E13" s="126" t="s">
        <v>42</v>
      </c>
      <c r="F13" s="126" t="s">
        <v>100</v>
      </c>
      <c r="G13" s="11" t="s">
        <v>53</v>
      </c>
      <c r="H13" s="11" t="s">
        <v>101</v>
      </c>
      <c r="I13" s="126" t="s">
        <v>31</v>
      </c>
      <c r="J13" s="126" t="s">
        <v>102</v>
      </c>
      <c r="K13" s="11">
        <v>2</v>
      </c>
      <c r="L13" s="11">
        <f t="shared" si="0"/>
        <v>10</v>
      </c>
      <c r="M13" s="11">
        <f t="shared" si="1"/>
        <v>100</v>
      </c>
      <c r="N13" s="11">
        <f t="shared" si="2"/>
        <v>200</v>
      </c>
      <c r="O13" s="31">
        <v>50</v>
      </c>
      <c r="P13" s="31">
        <v>150</v>
      </c>
      <c r="Q13" s="31">
        <v>250</v>
      </c>
      <c r="R13" s="60" t="s">
        <v>33</v>
      </c>
      <c r="S13" s="61">
        <v>7.6E-3</v>
      </c>
      <c r="T13" s="61">
        <f t="shared" si="3"/>
        <v>0.38</v>
      </c>
      <c r="U13" s="61">
        <v>7.6E-3</v>
      </c>
      <c r="V13" s="61">
        <f t="shared" si="4"/>
        <v>1.1399999999999999</v>
      </c>
      <c r="W13" s="61">
        <v>7.6E-3</v>
      </c>
      <c r="X13" s="61">
        <f t="shared" si="5"/>
        <v>1.9</v>
      </c>
      <c r="Y13" s="92"/>
    </row>
    <row r="14" spans="1:26">
      <c r="A14" s="7">
        <v>12</v>
      </c>
      <c r="B14" s="174"/>
      <c r="C14" s="124" t="s">
        <v>103</v>
      </c>
      <c r="D14" s="125" t="s">
        <v>104</v>
      </c>
      <c r="E14" s="126" t="s">
        <v>64</v>
      </c>
      <c r="F14" s="126" t="s">
        <v>105</v>
      </c>
      <c r="G14" s="11" t="s">
        <v>106</v>
      </c>
      <c r="H14" s="11" t="s">
        <v>107</v>
      </c>
      <c r="I14" s="126" t="s">
        <v>31</v>
      </c>
      <c r="J14" s="126" t="s">
        <v>108</v>
      </c>
      <c r="K14" s="11">
        <v>2</v>
      </c>
      <c r="L14" s="11">
        <f t="shared" si="0"/>
        <v>10</v>
      </c>
      <c r="M14" s="11">
        <f t="shared" si="1"/>
        <v>100</v>
      </c>
      <c r="N14" s="11">
        <f t="shared" si="2"/>
        <v>200</v>
      </c>
      <c r="O14" s="31">
        <v>20</v>
      </c>
      <c r="P14" s="31">
        <v>120</v>
      </c>
      <c r="Q14" s="31">
        <v>220</v>
      </c>
      <c r="R14" s="60" t="s">
        <v>33</v>
      </c>
      <c r="S14" s="61">
        <v>2.12E-2</v>
      </c>
      <c r="T14" s="61">
        <f t="shared" si="3"/>
        <v>0.42399999999999999</v>
      </c>
      <c r="U14" s="61">
        <v>2.12E-2</v>
      </c>
      <c r="V14" s="61">
        <f t="shared" si="4"/>
        <v>2.544</v>
      </c>
      <c r="W14" s="61">
        <v>1.7399999999999999E-2</v>
      </c>
      <c r="X14" s="61">
        <f t="shared" si="5"/>
        <v>3.8279999999999998</v>
      </c>
      <c r="Y14" s="92"/>
    </row>
    <row r="15" spans="1:26">
      <c r="A15" s="7">
        <v>13</v>
      </c>
      <c r="B15" s="174"/>
      <c r="C15" s="124" t="s">
        <v>109</v>
      </c>
      <c r="D15" s="125" t="s">
        <v>110</v>
      </c>
      <c r="E15" s="126" t="s">
        <v>42</v>
      </c>
      <c r="F15" s="126" t="s">
        <v>111</v>
      </c>
      <c r="G15" s="11" t="s">
        <v>112</v>
      </c>
      <c r="H15" s="11" t="s">
        <v>113</v>
      </c>
      <c r="I15" s="126" t="s">
        <v>31</v>
      </c>
      <c r="J15" s="126" t="s">
        <v>114</v>
      </c>
      <c r="K15" s="11">
        <v>2</v>
      </c>
      <c r="L15" s="11">
        <f t="shared" si="0"/>
        <v>10</v>
      </c>
      <c r="M15" s="11">
        <f t="shared" si="1"/>
        <v>100</v>
      </c>
      <c r="N15" s="11">
        <f t="shared" si="2"/>
        <v>200</v>
      </c>
      <c r="O15" s="31">
        <v>50</v>
      </c>
      <c r="P15" s="31">
        <v>150</v>
      </c>
      <c r="Q15" s="31">
        <v>250</v>
      </c>
      <c r="R15" s="60" t="s">
        <v>33</v>
      </c>
      <c r="S15" s="61">
        <v>9.9000000000000008E-3</v>
      </c>
      <c r="T15" s="61">
        <f t="shared" si="3"/>
        <v>0.49500000000000005</v>
      </c>
      <c r="U15" s="61">
        <v>9.9000000000000008E-3</v>
      </c>
      <c r="V15" s="61">
        <f t="shared" si="4"/>
        <v>1.4850000000000001</v>
      </c>
      <c r="W15" s="61">
        <v>9.9000000000000008E-3</v>
      </c>
      <c r="X15" s="61">
        <f t="shared" si="5"/>
        <v>2.4750000000000001</v>
      </c>
      <c r="Y15" s="92"/>
    </row>
    <row r="16" spans="1:26">
      <c r="A16" s="7">
        <v>14</v>
      </c>
      <c r="B16" s="174"/>
      <c r="C16" s="124" t="s">
        <v>115</v>
      </c>
      <c r="D16" s="125" t="s">
        <v>116</v>
      </c>
      <c r="E16" s="126" t="s">
        <v>42</v>
      </c>
      <c r="F16" s="126" t="s">
        <v>117</v>
      </c>
      <c r="G16" s="11" t="s">
        <v>118</v>
      </c>
      <c r="H16" s="11" t="s">
        <v>119</v>
      </c>
      <c r="I16" s="126" t="s">
        <v>31</v>
      </c>
      <c r="J16" s="126" t="s">
        <v>120</v>
      </c>
      <c r="K16" s="11">
        <v>1</v>
      </c>
      <c r="L16" s="11">
        <f t="shared" si="0"/>
        <v>5</v>
      </c>
      <c r="M16" s="11">
        <f t="shared" si="1"/>
        <v>50</v>
      </c>
      <c r="N16" s="11">
        <f t="shared" si="2"/>
        <v>100</v>
      </c>
      <c r="O16" s="31">
        <v>7</v>
      </c>
      <c r="P16" s="31">
        <v>60</v>
      </c>
      <c r="Q16" s="31">
        <v>110</v>
      </c>
      <c r="R16" s="60" t="s">
        <v>33</v>
      </c>
      <c r="S16" s="63">
        <v>0.19059999999999999</v>
      </c>
      <c r="T16" s="61">
        <f t="shared" si="3"/>
        <v>1.3342000000000001</v>
      </c>
      <c r="U16" s="61">
        <v>0.1366</v>
      </c>
      <c r="V16" s="61">
        <f t="shared" si="4"/>
        <v>8.1959999999999997</v>
      </c>
      <c r="W16" s="61">
        <v>0.1178</v>
      </c>
      <c r="X16" s="61">
        <f t="shared" si="5"/>
        <v>12.958</v>
      </c>
      <c r="Y16" s="92"/>
    </row>
    <row r="17" spans="1:25">
      <c r="A17" s="7">
        <v>15</v>
      </c>
      <c r="B17" s="175"/>
      <c r="C17" s="134" t="s">
        <v>121</v>
      </c>
      <c r="D17" s="135" t="s">
        <v>122</v>
      </c>
      <c r="E17" s="136" t="s">
        <v>42</v>
      </c>
      <c r="F17" s="136" t="s">
        <v>123</v>
      </c>
      <c r="G17" s="16" t="s">
        <v>44</v>
      </c>
      <c r="H17" s="16" t="s">
        <v>124</v>
      </c>
      <c r="I17" s="136" t="s">
        <v>31</v>
      </c>
      <c r="J17" s="136" t="s">
        <v>125</v>
      </c>
      <c r="K17" s="16">
        <v>1</v>
      </c>
      <c r="L17" s="16">
        <f t="shared" si="0"/>
        <v>5</v>
      </c>
      <c r="M17" s="16">
        <f t="shared" si="1"/>
        <v>50</v>
      </c>
      <c r="N17" s="16">
        <f t="shared" si="2"/>
        <v>100</v>
      </c>
      <c r="O17" s="33">
        <v>100</v>
      </c>
      <c r="P17" s="33">
        <v>100</v>
      </c>
      <c r="Q17" s="33">
        <v>200</v>
      </c>
      <c r="R17" s="67" t="s">
        <v>33</v>
      </c>
      <c r="S17" s="68">
        <v>3.8999999999999998E-3</v>
      </c>
      <c r="T17" s="68">
        <f t="shared" si="3"/>
        <v>0.38999999999999996</v>
      </c>
      <c r="U17" s="68">
        <v>3.8999999999999998E-3</v>
      </c>
      <c r="V17" s="68">
        <f t="shared" si="4"/>
        <v>0.38999999999999996</v>
      </c>
      <c r="W17" s="68">
        <v>3.8999999999999998E-3</v>
      </c>
      <c r="X17" s="68">
        <f t="shared" si="5"/>
        <v>0.77999999999999992</v>
      </c>
      <c r="Y17" s="95"/>
    </row>
    <row r="18" spans="1:25">
      <c r="A18" s="7"/>
      <c r="B18" s="176" t="s">
        <v>126</v>
      </c>
      <c r="C18" s="8" t="s">
        <v>127</v>
      </c>
      <c r="D18" s="9" t="s">
        <v>128</v>
      </c>
      <c r="E18" s="123" t="s">
        <v>129</v>
      </c>
      <c r="F18" s="10" t="s">
        <v>130</v>
      </c>
      <c r="G18" s="10" t="s">
        <v>131</v>
      </c>
      <c r="H18" s="10" t="s">
        <v>132</v>
      </c>
      <c r="I18" s="123" t="s">
        <v>31</v>
      </c>
      <c r="J18" s="34" t="s">
        <v>133</v>
      </c>
      <c r="K18" s="10">
        <v>1</v>
      </c>
      <c r="L18" s="10">
        <f t="shared" si="0"/>
        <v>5</v>
      </c>
      <c r="M18" s="10">
        <f t="shared" si="1"/>
        <v>50</v>
      </c>
      <c r="N18" s="10">
        <f t="shared" si="2"/>
        <v>100</v>
      </c>
      <c r="O18" s="29">
        <v>7</v>
      </c>
      <c r="P18" s="29">
        <v>55</v>
      </c>
      <c r="Q18" s="29">
        <v>105</v>
      </c>
      <c r="R18" s="69" t="s">
        <v>33</v>
      </c>
      <c r="S18" s="70">
        <v>0.1951</v>
      </c>
      <c r="T18" s="59">
        <f t="shared" si="3"/>
        <v>1.3656999999999999</v>
      </c>
      <c r="U18" s="70">
        <v>0.1401</v>
      </c>
      <c r="V18" s="59">
        <f t="shared" si="4"/>
        <v>7.7054999999999998</v>
      </c>
      <c r="W18" s="70">
        <v>0.1784</v>
      </c>
      <c r="X18" s="59">
        <f t="shared" si="5"/>
        <v>18.731999999999999</v>
      </c>
      <c r="Y18" s="91"/>
    </row>
    <row r="19" spans="1:25">
      <c r="A19" s="7">
        <v>16</v>
      </c>
      <c r="B19" s="177"/>
      <c r="C19" s="137" t="s">
        <v>134</v>
      </c>
      <c r="D19" s="138" t="s">
        <v>135</v>
      </c>
      <c r="E19" s="139" t="s">
        <v>136</v>
      </c>
      <c r="F19" s="140" t="s">
        <v>137</v>
      </c>
      <c r="G19" s="18" t="s">
        <v>138</v>
      </c>
      <c r="H19" s="18" t="s">
        <v>139</v>
      </c>
      <c r="I19" s="139" t="s">
        <v>140</v>
      </c>
      <c r="J19" s="35" t="s">
        <v>133</v>
      </c>
      <c r="K19" s="18">
        <v>2</v>
      </c>
      <c r="L19" s="18">
        <f t="shared" ref="L19:L35" si="6">K19*5</f>
        <v>10</v>
      </c>
      <c r="M19" s="18">
        <f t="shared" ref="M19:M35" si="7">K19*50</f>
        <v>100</v>
      </c>
      <c r="N19" s="18">
        <f t="shared" ref="N19:N35" si="8">K19*100</f>
        <v>200</v>
      </c>
      <c r="O19" s="36">
        <v>20</v>
      </c>
      <c r="P19" s="36">
        <v>170</v>
      </c>
      <c r="Q19" s="36">
        <v>320</v>
      </c>
      <c r="R19" s="71" t="s">
        <v>33</v>
      </c>
      <c r="S19" s="72">
        <v>0.17119999999999999</v>
      </c>
      <c r="T19" s="73">
        <f t="shared" ref="T19:T35" si="9">S19*O19</f>
        <v>3.4239999999999999</v>
      </c>
      <c r="U19" s="73">
        <v>0.129</v>
      </c>
      <c r="V19" s="73">
        <f t="shared" ref="V19:V35" si="10">U19*P19</f>
        <v>21.93</v>
      </c>
      <c r="W19" s="72">
        <v>0.129</v>
      </c>
      <c r="X19" s="73">
        <f t="shared" ref="X19:X35" si="11">W19*Q19</f>
        <v>41.28</v>
      </c>
      <c r="Y19" s="96" t="s">
        <v>141</v>
      </c>
    </row>
    <row r="20" spans="1:25">
      <c r="A20" s="7">
        <v>17</v>
      </c>
      <c r="B20" s="17" t="s">
        <v>142</v>
      </c>
      <c r="C20" s="141" t="s">
        <v>143</v>
      </c>
      <c r="D20" s="142" t="s">
        <v>144</v>
      </c>
      <c r="E20" s="143" t="s">
        <v>145</v>
      </c>
      <c r="F20" s="143" t="s">
        <v>146</v>
      </c>
      <c r="G20" s="19" t="s">
        <v>147</v>
      </c>
      <c r="H20" s="19" t="s">
        <v>148</v>
      </c>
      <c r="I20" s="37" t="s">
        <v>31</v>
      </c>
      <c r="J20" s="38" t="s">
        <v>133</v>
      </c>
      <c r="K20" s="19">
        <v>2</v>
      </c>
      <c r="L20" s="19">
        <f t="shared" si="6"/>
        <v>10</v>
      </c>
      <c r="M20" s="19">
        <f t="shared" si="7"/>
        <v>100</v>
      </c>
      <c r="N20" s="19">
        <f t="shared" si="8"/>
        <v>200</v>
      </c>
      <c r="O20" s="39">
        <v>20</v>
      </c>
      <c r="P20" s="39">
        <v>110</v>
      </c>
      <c r="Q20" s="39">
        <v>210</v>
      </c>
      <c r="R20" s="74" t="s">
        <v>33</v>
      </c>
      <c r="S20" s="75">
        <v>4.9799999999999997E-2</v>
      </c>
      <c r="T20" s="75">
        <f t="shared" si="9"/>
        <v>0.996</v>
      </c>
      <c r="U20" s="75">
        <v>4.1200000000000001E-2</v>
      </c>
      <c r="V20" s="75">
        <f t="shared" si="10"/>
        <v>4.532</v>
      </c>
      <c r="W20" s="75">
        <v>4.1200000000000001E-2</v>
      </c>
      <c r="X20" s="75">
        <f t="shared" si="11"/>
        <v>8.6519999999999992</v>
      </c>
      <c r="Y20" s="97"/>
    </row>
    <row r="21" spans="1:25" ht="25.5">
      <c r="A21" s="7">
        <v>18</v>
      </c>
      <c r="B21" s="178" t="s">
        <v>149</v>
      </c>
      <c r="C21" s="144" t="s">
        <v>150</v>
      </c>
      <c r="D21" s="145" t="s">
        <v>151</v>
      </c>
      <c r="E21" s="146" t="s">
        <v>152</v>
      </c>
      <c r="F21" s="147" t="s">
        <v>153</v>
      </c>
      <c r="G21" s="20" t="s">
        <v>154</v>
      </c>
      <c r="H21" s="20" t="s">
        <v>155</v>
      </c>
      <c r="I21" s="40" t="s">
        <v>31</v>
      </c>
      <c r="J21" s="41" t="s">
        <v>133</v>
      </c>
      <c r="K21" s="20">
        <v>1</v>
      </c>
      <c r="L21" s="20">
        <f t="shared" si="6"/>
        <v>5</v>
      </c>
      <c r="M21" s="20">
        <f t="shared" si="7"/>
        <v>50</v>
      </c>
      <c r="N21" s="20">
        <f t="shared" si="8"/>
        <v>100</v>
      </c>
      <c r="O21" s="42">
        <v>10</v>
      </c>
      <c r="P21" s="42">
        <v>60</v>
      </c>
      <c r="Q21" s="42">
        <v>110</v>
      </c>
      <c r="R21" s="76" t="s">
        <v>33</v>
      </c>
      <c r="S21" s="77">
        <v>5.6399999999999999E-2</v>
      </c>
      <c r="T21" s="77">
        <f t="shared" si="9"/>
        <v>0.56399999999999995</v>
      </c>
      <c r="U21" s="77">
        <v>5.6399999999999999E-2</v>
      </c>
      <c r="V21" s="77">
        <f t="shared" si="10"/>
        <v>3.3839999999999999</v>
      </c>
      <c r="W21" s="77">
        <v>4.58E-2</v>
      </c>
      <c r="X21" s="77">
        <f t="shared" si="11"/>
        <v>5.0380000000000003</v>
      </c>
      <c r="Y21" s="98"/>
    </row>
    <row r="22" spans="1:25">
      <c r="A22" s="7">
        <v>19</v>
      </c>
      <c r="B22" s="174"/>
      <c r="C22" s="124" t="s">
        <v>156</v>
      </c>
      <c r="D22" s="125" t="s">
        <v>157</v>
      </c>
      <c r="E22" s="126" t="s">
        <v>152</v>
      </c>
      <c r="F22" s="126" t="s">
        <v>158</v>
      </c>
      <c r="G22" s="11" t="s">
        <v>138</v>
      </c>
      <c r="H22" s="11" t="s">
        <v>159</v>
      </c>
      <c r="I22" s="30" t="s">
        <v>31</v>
      </c>
      <c r="J22" s="43" t="s">
        <v>133</v>
      </c>
      <c r="K22" s="11">
        <v>1</v>
      </c>
      <c r="L22" s="11">
        <f t="shared" si="6"/>
        <v>5</v>
      </c>
      <c r="M22" s="11">
        <f t="shared" si="7"/>
        <v>50</v>
      </c>
      <c r="N22" s="11">
        <f t="shared" si="8"/>
        <v>100</v>
      </c>
      <c r="O22" s="31">
        <v>7</v>
      </c>
      <c r="P22" s="31">
        <v>60</v>
      </c>
      <c r="Q22" s="31">
        <v>110</v>
      </c>
      <c r="R22" s="60" t="s">
        <v>33</v>
      </c>
      <c r="S22" s="78">
        <v>0.187</v>
      </c>
      <c r="T22" s="61">
        <f t="shared" si="9"/>
        <v>1.3089999999999999</v>
      </c>
      <c r="U22" s="61">
        <v>0.13059999999999999</v>
      </c>
      <c r="V22" s="61">
        <f t="shared" si="10"/>
        <v>7.8359999999999994</v>
      </c>
      <c r="W22" s="61">
        <v>0.1109</v>
      </c>
      <c r="X22" s="61">
        <f t="shared" si="11"/>
        <v>12.199</v>
      </c>
      <c r="Y22" s="92"/>
    </row>
    <row r="23" spans="1:25">
      <c r="A23" s="7">
        <v>20</v>
      </c>
      <c r="B23" s="174"/>
      <c r="C23" s="124" t="s">
        <v>160</v>
      </c>
      <c r="D23" s="125" t="s">
        <v>161</v>
      </c>
      <c r="E23" s="126" t="s">
        <v>152</v>
      </c>
      <c r="F23" s="126" t="s">
        <v>162</v>
      </c>
      <c r="G23" s="11" t="s">
        <v>163</v>
      </c>
      <c r="H23" s="11" t="s">
        <v>164</v>
      </c>
      <c r="I23" s="30" t="s">
        <v>31</v>
      </c>
      <c r="J23" s="43" t="s">
        <v>133</v>
      </c>
      <c r="K23" s="11">
        <v>1</v>
      </c>
      <c r="L23" s="11">
        <f t="shared" si="6"/>
        <v>5</v>
      </c>
      <c r="M23" s="11">
        <f t="shared" si="7"/>
        <v>50</v>
      </c>
      <c r="N23" s="11">
        <f t="shared" si="8"/>
        <v>100</v>
      </c>
      <c r="O23" s="31">
        <v>7</v>
      </c>
      <c r="P23" s="31">
        <v>60</v>
      </c>
      <c r="Q23" s="31">
        <v>110</v>
      </c>
      <c r="R23" s="60" t="s">
        <v>33</v>
      </c>
      <c r="S23" s="78">
        <v>0.20150000000000001</v>
      </c>
      <c r="T23" s="61">
        <f t="shared" si="9"/>
        <v>1.4105000000000001</v>
      </c>
      <c r="U23" s="61">
        <v>0.13730000000000001</v>
      </c>
      <c r="V23" s="61">
        <f t="shared" si="10"/>
        <v>8.2379999999999995</v>
      </c>
      <c r="W23" s="61">
        <v>0.115</v>
      </c>
      <c r="X23" s="61">
        <f t="shared" si="11"/>
        <v>12.65</v>
      </c>
      <c r="Y23" s="92"/>
    </row>
    <row r="24" spans="1:25">
      <c r="A24" s="7">
        <v>21</v>
      </c>
      <c r="B24" s="174"/>
      <c r="C24" s="124" t="s">
        <v>165</v>
      </c>
      <c r="D24" s="125" t="s">
        <v>166</v>
      </c>
      <c r="E24" s="126" t="s">
        <v>152</v>
      </c>
      <c r="F24" s="126" t="s">
        <v>167</v>
      </c>
      <c r="G24" s="11" t="s">
        <v>154</v>
      </c>
      <c r="H24" s="11" t="s">
        <v>168</v>
      </c>
      <c r="I24" s="30" t="s">
        <v>31</v>
      </c>
      <c r="J24" s="43" t="s">
        <v>133</v>
      </c>
      <c r="K24" s="11">
        <v>1</v>
      </c>
      <c r="L24" s="11">
        <f t="shared" si="6"/>
        <v>5</v>
      </c>
      <c r="M24" s="11">
        <f t="shared" si="7"/>
        <v>50</v>
      </c>
      <c r="N24" s="11">
        <f t="shared" si="8"/>
        <v>100</v>
      </c>
      <c r="O24" s="31">
        <v>10</v>
      </c>
      <c r="P24" s="31">
        <v>60</v>
      </c>
      <c r="Q24" s="31">
        <v>110</v>
      </c>
      <c r="R24" s="60" t="s">
        <v>33</v>
      </c>
      <c r="S24" s="61">
        <v>5.5500000000000001E-2</v>
      </c>
      <c r="T24" s="61">
        <f t="shared" si="9"/>
        <v>0.55500000000000005</v>
      </c>
      <c r="U24" s="61">
        <v>5.5500000000000001E-2</v>
      </c>
      <c r="V24" s="61">
        <f t="shared" si="10"/>
        <v>3.33</v>
      </c>
      <c r="W24" s="61">
        <v>4.5100000000000001E-2</v>
      </c>
      <c r="X24" s="61">
        <f t="shared" si="11"/>
        <v>4.9610000000000003</v>
      </c>
      <c r="Y24" s="92"/>
    </row>
    <row r="25" spans="1:25">
      <c r="A25" s="7">
        <v>22</v>
      </c>
      <c r="B25" s="175"/>
      <c r="C25" s="148" t="s">
        <v>169</v>
      </c>
      <c r="D25" s="149" t="s">
        <v>170</v>
      </c>
      <c r="E25" s="150" t="s">
        <v>171</v>
      </c>
      <c r="F25" s="150" t="s">
        <v>172</v>
      </c>
      <c r="G25" s="21" t="s">
        <v>173</v>
      </c>
      <c r="H25" s="150" t="s">
        <v>31</v>
      </c>
      <c r="I25" s="44" t="s">
        <v>31</v>
      </c>
      <c r="J25" s="44" t="s">
        <v>133</v>
      </c>
      <c r="K25" s="21">
        <v>1</v>
      </c>
      <c r="L25" s="21">
        <f t="shared" si="6"/>
        <v>5</v>
      </c>
      <c r="M25" s="21">
        <f t="shared" si="7"/>
        <v>50</v>
      </c>
      <c r="N25" s="21">
        <f t="shared" si="8"/>
        <v>100</v>
      </c>
      <c r="O25" s="45">
        <v>7</v>
      </c>
      <c r="P25" s="45">
        <v>60</v>
      </c>
      <c r="Q25" s="45">
        <v>110</v>
      </c>
      <c r="R25" s="79" t="s">
        <v>174</v>
      </c>
      <c r="S25" s="80">
        <v>0.69501999999999997</v>
      </c>
      <c r="T25" s="80">
        <f t="shared" si="9"/>
        <v>4.8651400000000002</v>
      </c>
      <c r="U25" s="80">
        <v>0.69501999999999997</v>
      </c>
      <c r="V25" s="80">
        <f t="shared" si="10"/>
        <v>41.7012</v>
      </c>
      <c r="W25" s="80">
        <v>0.55601</v>
      </c>
      <c r="X25" s="80">
        <f t="shared" si="11"/>
        <v>61.161099999999998</v>
      </c>
      <c r="Y25" s="99"/>
    </row>
    <row r="26" spans="1:25">
      <c r="A26" s="7">
        <v>23</v>
      </c>
      <c r="B26" s="173" t="s">
        <v>175</v>
      </c>
      <c r="C26" s="121" t="s">
        <v>176</v>
      </c>
      <c r="D26" s="122" t="s">
        <v>177</v>
      </c>
      <c r="E26" s="123" t="s">
        <v>27</v>
      </c>
      <c r="F26" s="123" t="s">
        <v>178</v>
      </c>
      <c r="G26" s="10" t="s">
        <v>179</v>
      </c>
      <c r="H26" s="10" t="s">
        <v>180</v>
      </c>
      <c r="I26" s="28" t="s">
        <v>31</v>
      </c>
      <c r="J26" s="34" t="s">
        <v>133</v>
      </c>
      <c r="K26" s="10">
        <v>1</v>
      </c>
      <c r="L26" s="10">
        <f t="shared" si="6"/>
        <v>5</v>
      </c>
      <c r="M26" s="10">
        <f t="shared" si="7"/>
        <v>50</v>
      </c>
      <c r="N26" s="10">
        <f t="shared" si="8"/>
        <v>100</v>
      </c>
      <c r="O26" s="29">
        <v>7</v>
      </c>
      <c r="P26" s="29">
        <v>60</v>
      </c>
      <c r="Q26" s="29">
        <v>110</v>
      </c>
      <c r="R26" s="57" t="s">
        <v>33</v>
      </c>
      <c r="S26" s="81">
        <v>0.37780000000000002</v>
      </c>
      <c r="T26" s="59">
        <f t="shared" si="9"/>
        <v>2.6446000000000001</v>
      </c>
      <c r="U26" s="59">
        <v>0.25580000000000003</v>
      </c>
      <c r="V26" s="59">
        <f t="shared" si="10"/>
        <v>15.348000000000003</v>
      </c>
      <c r="W26" s="59">
        <v>0.20930000000000001</v>
      </c>
      <c r="X26" s="59">
        <f t="shared" si="11"/>
        <v>23.023000000000003</v>
      </c>
      <c r="Y26" s="91"/>
    </row>
    <row r="27" spans="1:25">
      <c r="A27" s="7">
        <v>24</v>
      </c>
      <c r="B27" s="179"/>
      <c r="C27" s="137" t="s">
        <v>181</v>
      </c>
      <c r="D27" s="138" t="s">
        <v>182</v>
      </c>
      <c r="E27" s="139" t="s">
        <v>27</v>
      </c>
      <c r="F27" s="139" t="s">
        <v>183</v>
      </c>
      <c r="G27" s="18" t="s">
        <v>184</v>
      </c>
      <c r="H27" s="18" t="s">
        <v>185</v>
      </c>
      <c r="I27" s="46" t="s">
        <v>31</v>
      </c>
      <c r="J27" s="35" t="s">
        <v>133</v>
      </c>
      <c r="K27" s="18">
        <v>1</v>
      </c>
      <c r="L27" s="18">
        <f t="shared" si="6"/>
        <v>5</v>
      </c>
      <c r="M27" s="18">
        <f t="shared" si="7"/>
        <v>50</v>
      </c>
      <c r="N27" s="18">
        <f t="shared" si="8"/>
        <v>100</v>
      </c>
      <c r="O27" s="36">
        <v>7</v>
      </c>
      <c r="P27" s="36">
        <v>60</v>
      </c>
      <c r="Q27" s="36">
        <v>110</v>
      </c>
      <c r="R27" s="71" t="s">
        <v>33</v>
      </c>
      <c r="S27" s="82">
        <v>0.82230000000000003</v>
      </c>
      <c r="T27" s="73">
        <f t="shared" si="9"/>
        <v>5.7561</v>
      </c>
      <c r="U27" s="73">
        <v>0.59509999999999996</v>
      </c>
      <c r="V27" s="73">
        <f t="shared" si="10"/>
        <v>35.705999999999996</v>
      </c>
      <c r="W27" s="73">
        <v>0.51759999999999995</v>
      </c>
      <c r="X27" s="73">
        <f t="shared" si="11"/>
        <v>56.935999999999993</v>
      </c>
      <c r="Y27" s="100"/>
    </row>
    <row r="28" spans="1:25">
      <c r="A28" s="7">
        <v>25</v>
      </c>
      <c r="B28" s="22" t="s">
        <v>186</v>
      </c>
      <c r="C28" s="151" t="s">
        <v>187</v>
      </c>
      <c r="D28" s="152" t="s">
        <v>188</v>
      </c>
      <c r="E28" s="153" t="s">
        <v>27</v>
      </c>
      <c r="F28" s="153" t="s">
        <v>189</v>
      </c>
      <c r="G28" s="23" t="s">
        <v>190</v>
      </c>
      <c r="H28" s="23" t="s">
        <v>191</v>
      </c>
      <c r="I28" s="47" t="s">
        <v>31</v>
      </c>
      <c r="J28" s="48" t="s">
        <v>133</v>
      </c>
      <c r="K28" s="23">
        <v>1</v>
      </c>
      <c r="L28" s="23">
        <f t="shared" si="6"/>
        <v>5</v>
      </c>
      <c r="M28" s="23">
        <f t="shared" si="7"/>
        <v>50</v>
      </c>
      <c r="N28" s="23">
        <f t="shared" si="8"/>
        <v>100</v>
      </c>
      <c r="O28" s="49">
        <v>7</v>
      </c>
      <c r="P28" s="49">
        <v>55</v>
      </c>
      <c r="Q28" s="49">
        <v>110</v>
      </c>
      <c r="R28" s="83" t="s">
        <v>33</v>
      </c>
      <c r="S28" s="63">
        <v>0.33910000000000001</v>
      </c>
      <c r="T28" s="84">
        <f t="shared" si="9"/>
        <v>2.3736999999999999</v>
      </c>
      <c r="U28" s="84">
        <v>0.23949999999999999</v>
      </c>
      <c r="V28" s="84">
        <f t="shared" si="10"/>
        <v>13.172499999999999</v>
      </c>
      <c r="W28" s="84">
        <v>0.20499999999999999</v>
      </c>
      <c r="X28" s="84">
        <f t="shared" si="11"/>
        <v>22.549999999999997</v>
      </c>
      <c r="Y28" s="101"/>
    </row>
    <row r="29" spans="1:25">
      <c r="A29" s="7">
        <v>26</v>
      </c>
      <c r="B29" s="24" t="s">
        <v>192</v>
      </c>
      <c r="C29" s="154" t="s">
        <v>193</v>
      </c>
      <c r="D29" s="155" t="s">
        <v>194</v>
      </c>
      <c r="E29" s="156" t="s">
        <v>27</v>
      </c>
      <c r="F29" s="156" t="s">
        <v>195</v>
      </c>
      <c r="G29" s="25" t="s">
        <v>196</v>
      </c>
      <c r="H29" s="156" t="s">
        <v>31</v>
      </c>
      <c r="I29" s="50" t="s">
        <v>31</v>
      </c>
      <c r="J29" s="50" t="s">
        <v>133</v>
      </c>
      <c r="K29" s="25">
        <v>2</v>
      </c>
      <c r="L29" s="25">
        <f t="shared" si="6"/>
        <v>10</v>
      </c>
      <c r="M29" s="25">
        <f t="shared" si="7"/>
        <v>100</v>
      </c>
      <c r="N29" s="25">
        <f t="shared" si="8"/>
        <v>200</v>
      </c>
      <c r="O29" s="51">
        <v>55</v>
      </c>
      <c r="P29" s="51">
        <v>130</v>
      </c>
      <c r="Q29" s="51">
        <v>250</v>
      </c>
      <c r="R29" s="85" t="s">
        <v>197</v>
      </c>
      <c r="S29" s="86">
        <v>0.92900000000000005</v>
      </c>
      <c r="T29" s="86">
        <f t="shared" si="9"/>
        <v>51.095000000000006</v>
      </c>
      <c r="U29" s="87">
        <v>0.77400000000000002</v>
      </c>
      <c r="V29" s="86">
        <f t="shared" si="10"/>
        <v>100.62</v>
      </c>
      <c r="W29" s="87">
        <v>0.752</v>
      </c>
      <c r="X29" s="86">
        <f t="shared" si="11"/>
        <v>188</v>
      </c>
      <c r="Y29" s="102"/>
    </row>
    <row r="30" spans="1:25">
      <c r="A30" s="7">
        <v>27</v>
      </c>
      <c r="B30" s="173" t="s">
        <v>198</v>
      </c>
      <c r="C30" s="121" t="s">
        <v>199</v>
      </c>
      <c r="D30" s="122" t="s">
        <v>200</v>
      </c>
      <c r="E30" s="123" t="s">
        <v>201</v>
      </c>
      <c r="F30" s="123" t="s">
        <v>202</v>
      </c>
      <c r="G30" s="10" t="s">
        <v>203</v>
      </c>
      <c r="H30" s="10" t="s">
        <v>204</v>
      </c>
      <c r="I30" s="28" t="s">
        <v>31</v>
      </c>
      <c r="J30" s="123" t="s">
        <v>205</v>
      </c>
      <c r="K30" s="10">
        <v>1</v>
      </c>
      <c r="L30" s="10">
        <f t="shared" si="6"/>
        <v>5</v>
      </c>
      <c r="M30" s="10">
        <f t="shared" si="7"/>
        <v>50</v>
      </c>
      <c r="N30" s="10">
        <f t="shared" si="8"/>
        <v>100</v>
      </c>
      <c r="O30" s="29">
        <v>100</v>
      </c>
      <c r="P30" s="29">
        <v>100</v>
      </c>
      <c r="Q30" s="29">
        <v>200</v>
      </c>
      <c r="R30" s="57" t="s">
        <v>33</v>
      </c>
      <c r="S30" s="59">
        <v>6.9999999999999999E-4</v>
      </c>
      <c r="T30" s="59">
        <f t="shared" si="9"/>
        <v>6.9999999999999993E-2</v>
      </c>
      <c r="U30" s="59">
        <v>6.9999999999999999E-4</v>
      </c>
      <c r="V30" s="59">
        <f t="shared" si="10"/>
        <v>6.9999999999999993E-2</v>
      </c>
      <c r="W30" s="59">
        <v>6.9999999999999999E-4</v>
      </c>
      <c r="X30" s="59">
        <f t="shared" si="11"/>
        <v>0.13999999999999999</v>
      </c>
      <c r="Y30" s="91"/>
    </row>
    <row r="31" spans="1:25">
      <c r="A31" s="7">
        <v>28</v>
      </c>
      <c r="B31" s="174"/>
      <c r="C31" s="124" t="s">
        <v>206</v>
      </c>
      <c r="D31" s="125" t="s">
        <v>207</v>
      </c>
      <c r="E31" s="126" t="s">
        <v>208</v>
      </c>
      <c r="F31" s="128" t="s">
        <v>209</v>
      </c>
      <c r="G31" s="11" t="s">
        <v>210</v>
      </c>
      <c r="H31" s="11" t="s">
        <v>211</v>
      </c>
      <c r="I31" s="52" t="s">
        <v>212</v>
      </c>
      <c r="J31" s="126" t="s">
        <v>213</v>
      </c>
      <c r="K31" s="11">
        <v>1</v>
      </c>
      <c r="L31" s="11">
        <f t="shared" si="6"/>
        <v>5</v>
      </c>
      <c r="M31" s="11">
        <f t="shared" si="7"/>
        <v>50</v>
      </c>
      <c r="N31" s="11">
        <f t="shared" si="8"/>
        <v>100</v>
      </c>
      <c r="O31" s="31">
        <v>100</v>
      </c>
      <c r="P31" s="31">
        <v>100</v>
      </c>
      <c r="Q31" s="31">
        <v>200</v>
      </c>
      <c r="R31" s="60" t="s">
        <v>33</v>
      </c>
      <c r="S31" s="61">
        <v>1E-3</v>
      </c>
      <c r="T31" s="61">
        <f t="shared" si="9"/>
        <v>0.1</v>
      </c>
      <c r="U31" s="61">
        <v>1E-3</v>
      </c>
      <c r="V31" s="61">
        <f t="shared" si="10"/>
        <v>0.1</v>
      </c>
      <c r="W31" s="61">
        <v>1E-3</v>
      </c>
      <c r="X31" s="61">
        <f t="shared" si="11"/>
        <v>0.2</v>
      </c>
      <c r="Y31" s="92"/>
    </row>
    <row r="32" spans="1:25">
      <c r="A32" s="7">
        <v>29</v>
      </c>
      <c r="B32" s="174"/>
      <c r="C32" s="124" t="s">
        <v>214</v>
      </c>
      <c r="D32" s="125" t="s">
        <v>215</v>
      </c>
      <c r="E32" s="126" t="s">
        <v>201</v>
      </c>
      <c r="F32" s="126" t="s">
        <v>216</v>
      </c>
      <c r="G32" s="11" t="s">
        <v>44</v>
      </c>
      <c r="H32" s="11" t="s">
        <v>217</v>
      </c>
      <c r="I32" s="30" t="s">
        <v>31</v>
      </c>
      <c r="J32" s="126" t="s">
        <v>218</v>
      </c>
      <c r="K32" s="11">
        <v>7</v>
      </c>
      <c r="L32" s="11">
        <f t="shared" si="6"/>
        <v>35</v>
      </c>
      <c r="M32" s="11">
        <f t="shared" si="7"/>
        <v>350</v>
      </c>
      <c r="N32" s="11">
        <f t="shared" si="8"/>
        <v>700</v>
      </c>
      <c r="O32" s="31">
        <v>100</v>
      </c>
      <c r="P32" s="31">
        <v>400</v>
      </c>
      <c r="Q32" s="31">
        <v>800</v>
      </c>
      <c r="R32" s="60" t="s">
        <v>33</v>
      </c>
      <c r="S32" s="61">
        <v>2.3E-3</v>
      </c>
      <c r="T32" s="61">
        <f t="shared" si="9"/>
        <v>0.22999999999999998</v>
      </c>
      <c r="U32" s="61">
        <v>2.3E-3</v>
      </c>
      <c r="V32" s="61">
        <f t="shared" si="10"/>
        <v>0.91999999999999993</v>
      </c>
      <c r="W32" s="63">
        <v>2.3E-3</v>
      </c>
      <c r="X32" s="61">
        <f t="shared" si="11"/>
        <v>1.8399999999999999</v>
      </c>
      <c r="Y32" s="92"/>
    </row>
    <row r="33" spans="1:25">
      <c r="A33" s="7">
        <v>30</v>
      </c>
      <c r="B33" s="174"/>
      <c r="C33" s="124" t="s">
        <v>219</v>
      </c>
      <c r="D33" s="125" t="s">
        <v>220</v>
      </c>
      <c r="E33" s="126" t="s">
        <v>201</v>
      </c>
      <c r="F33" s="126" t="s">
        <v>221</v>
      </c>
      <c r="G33" s="11" t="s">
        <v>44</v>
      </c>
      <c r="H33" s="11" t="s">
        <v>222</v>
      </c>
      <c r="I33" s="30" t="s">
        <v>31</v>
      </c>
      <c r="J33" s="126" t="s">
        <v>223</v>
      </c>
      <c r="K33" s="11">
        <v>1</v>
      </c>
      <c r="L33" s="11">
        <f t="shared" si="6"/>
        <v>5</v>
      </c>
      <c r="M33" s="11">
        <f t="shared" si="7"/>
        <v>50</v>
      </c>
      <c r="N33" s="11">
        <f t="shared" si="8"/>
        <v>100</v>
      </c>
      <c r="O33" s="31">
        <v>100</v>
      </c>
      <c r="P33" s="31">
        <v>100</v>
      </c>
      <c r="Q33" s="31">
        <v>200</v>
      </c>
      <c r="R33" s="60" t="s">
        <v>33</v>
      </c>
      <c r="S33" s="61">
        <v>8.0000000000000004E-4</v>
      </c>
      <c r="T33" s="61">
        <f t="shared" si="9"/>
        <v>0.08</v>
      </c>
      <c r="U33" s="61">
        <v>8.0000000000000004E-4</v>
      </c>
      <c r="V33" s="61">
        <f t="shared" si="10"/>
        <v>0.08</v>
      </c>
      <c r="W33" s="61">
        <v>8.0000000000000004E-4</v>
      </c>
      <c r="X33" s="61">
        <f t="shared" si="11"/>
        <v>0.16</v>
      </c>
      <c r="Y33" s="92"/>
    </row>
    <row r="34" spans="1:25">
      <c r="A34" s="7">
        <v>31</v>
      </c>
      <c r="B34" s="174"/>
      <c r="C34" s="124" t="s">
        <v>224</v>
      </c>
      <c r="D34" s="125" t="s">
        <v>225</v>
      </c>
      <c r="E34" s="126" t="s">
        <v>201</v>
      </c>
      <c r="F34" s="126" t="s">
        <v>226</v>
      </c>
      <c r="G34" s="11" t="s">
        <v>44</v>
      </c>
      <c r="H34" s="11" t="s">
        <v>227</v>
      </c>
      <c r="I34" s="30" t="s">
        <v>31</v>
      </c>
      <c r="J34" s="126" t="s">
        <v>228</v>
      </c>
      <c r="K34" s="11">
        <v>1</v>
      </c>
      <c r="L34" s="11">
        <f t="shared" si="6"/>
        <v>5</v>
      </c>
      <c r="M34" s="11">
        <f t="shared" si="7"/>
        <v>50</v>
      </c>
      <c r="N34" s="11">
        <f t="shared" si="8"/>
        <v>100</v>
      </c>
      <c r="O34" s="31">
        <v>100</v>
      </c>
      <c r="P34" s="31">
        <v>100</v>
      </c>
      <c r="Q34" s="31">
        <v>200</v>
      </c>
      <c r="R34" s="60" t="s">
        <v>33</v>
      </c>
      <c r="S34" s="61">
        <v>1.1000000000000001E-3</v>
      </c>
      <c r="T34" s="61">
        <f t="shared" si="9"/>
        <v>0.11</v>
      </c>
      <c r="U34" s="61">
        <v>1.1000000000000001E-3</v>
      </c>
      <c r="V34" s="61">
        <f t="shared" si="10"/>
        <v>0.11</v>
      </c>
      <c r="W34" s="61">
        <v>1.1000000000000001E-3</v>
      </c>
      <c r="X34" s="61">
        <f t="shared" si="11"/>
        <v>0.22</v>
      </c>
      <c r="Y34" s="92"/>
    </row>
    <row r="35" spans="1:25">
      <c r="A35" s="7">
        <v>32</v>
      </c>
      <c r="B35" s="174"/>
      <c r="C35" s="124" t="s">
        <v>229</v>
      </c>
      <c r="D35" s="125" t="s">
        <v>230</v>
      </c>
      <c r="E35" s="126" t="s">
        <v>201</v>
      </c>
      <c r="F35" s="126" t="s">
        <v>231</v>
      </c>
      <c r="G35" s="11" t="s">
        <v>44</v>
      </c>
      <c r="H35" s="11" t="s">
        <v>232</v>
      </c>
      <c r="I35" s="30" t="s">
        <v>31</v>
      </c>
      <c r="J35" s="126" t="s">
        <v>233</v>
      </c>
      <c r="K35" s="11">
        <v>1</v>
      </c>
      <c r="L35" s="11">
        <f t="shared" si="6"/>
        <v>5</v>
      </c>
      <c r="M35" s="11">
        <f t="shared" si="7"/>
        <v>50</v>
      </c>
      <c r="N35" s="11">
        <f t="shared" si="8"/>
        <v>100</v>
      </c>
      <c r="O35" s="31">
        <v>100</v>
      </c>
      <c r="P35" s="31">
        <v>100</v>
      </c>
      <c r="Q35" s="31">
        <v>200</v>
      </c>
      <c r="R35" s="60" t="s">
        <v>33</v>
      </c>
      <c r="S35" s="61">
        <v>1.2999999999999999E-3</v>
      </c>
      <c r="T35" s="61">
        <f t="shared" si="9"/>
        <v>0.13</v>
      </c>
      <c r="U35" s="61">
        <v>1.2999999999999999E-3</v>
      </c>
      <c r="V35" s="61">
        <f t="shared" si="10"/>
        <v>0.13</v>
      </c>
      <c r="W35" s="61">
        <v>1.2999999999999999E-3</v>
      </c>
      <c r="X35" s="61">
        <f t="shared" si="11"/>
        <v>0.26</v>
      </c>
      <c r="Y35" s="92"/>
    </row>
    <row r="36" spans="1:25">
      <c r="A36" s="7">
        <v>33</v>
      </c>
      <c r="B36" s="174"/>
      <c r="C36" s="124" t="s">
        <v>234</v>
      </c>
      <c r="D36" s="125" t="s">
        <v>235</v>
      </c>
      <c r="E36" s="126" t="s">
        <v>201</v>
      </c>
      <c r="F36" s="126" t="s">
        <v>236</v>
      </c>
      <c r="G36" s="11" t="s">
        <v>237</v>
      </c>
      <c r="H36" s="11" t="s">
        <v>238</v>
      </c>
      <c r="I36" s="53" t="s">
        <v>239</v>
      </c>
      <c r="J36" s="126" t="s">
        <v>240</v>
      </c>
      <c r="K36" s="11">
        <v>5</v>
      </c>
      <c r="L36" s="11">
        <f t="shared" ref="L36:L64" si="12">K36*5</f>
        <v>25</v>
      </c>
      <c r="M36" s="11">
        <f t="shared" ref="M36:M64" si="13">K36*50</f>
        <v>250</v>
      </c>
      <c r="N36" s="11">
        <f t="shared" ref="N36:N64" si="14">K36*100</f>
        <v>500</v>
      </c>
      <c r="O36" s="31">
        <v>100</v>
      </c>
      <c r="P36" s="31">
        <v>300</v>
      </c>
      <c r="Q36" s="31">
        <v>600</v>
      </c>
      <c r="R36" s="60" t="s">
        <v>33</v>
      </c>
      <c r="S36" s="61">
        <v>5.0000000000000001E-4</v>
      </c>
      <c r="T36" s="61">
        <f t="shared" ref="T36:T67" si="15">S36*O36</f>
        <v>0.05</v>
      </c>
      <c r="U36" s="61">
        <v>5.0000000000000001E-4</v>
      </c>
      <c r="V36" s="61">
        <f t="shared" ref="V36:V67" si="16">U36*P36</f>
        <v>0.15</v>
      </c>
      <c r="W36" s="61">
        <v>5.0000000000000001E-4</v>
      </c>
      <c r="X36" s="61">
        <f t="shared" ref="X36:X67" si="17">W36*Q36</f>
        <v>0.3</v>
      </c>
      <c r="Y36" s="92"/>
    </row>
    <row r="37" spans="1:25">
      <c r="A37" s="7">
        <v>34</v>
      </c>
      <c r="B37" s="174"/>
      <c r="C37" s="124" t="s">
        <v>241</v>
      </c>
      <c r="D37" s="125" t="s">
        <v>242</v>
      </c>
      <c r="E37" s="126" t="s">
        <v>201</v>
      </c>
      <c r="F37" s="126" t="s">
        <v>243</v>
      </c>
      <c r="G37" s="11" t="s">
        <v>44</v>
      </c>
      <c r="H37" s="11" t="s">
        <v>244</v>
      </c>
      <c r="I37" s="30" t="s">
        <v>31</v>
      </c>
      <c r="J37" s="126" t="s">
        <v>245</v>
      </c>
      <c r="K37" s="11">
        <v>1</v>
      </c>
      <c r="L37" s="11">
        <f t="shared" si="12"/>
        <v>5</v>
      </c>
      <c r="M37" s="11">
        <f t="shared" si="13"/>
        <v>50</v>
      </c>
      <c r="N37" s="11">
        <f t="shared" si="14"/>
        <v>100</v>
      </c>
      <c r="O37" s="31">
        <v>100</v>
      </c>
      <c r="P37" s="31">
        <v>100</v>
      </c>
      <c r="Q37" s="31">
        <v>200</v>
      </c>
      <c r="R37" s="60" t="s">
        <v>33</v>
      </c>
      <c r="S37" s="61">
        <v>8.9999999999999998E-4</v>
      </c>
      <c r="T37" s="61">
        <f t="shared" si="15"/>
        <v>0.09</v>
      </c>
      <c r="U37" s="61">
        <v>8.9999999999999998E-4</v>
      </c>
      <c r="V37" s="61">
        <f t="shared" si="16"/>
        <v>0.09</v>
      </c>
      <c r="W37" s="61">
        <v>8.9999999999999998E-4</v>
      </c>
      <c r="X37" s="61">
        <f t="shared" si="17"/>
        <v>0.18</v>
      </c>
      <c r="Y37" s="92"/>
    </row>
    <row r="38" spans="1:25">
      <c r="A38" s="7">
        <v>35</v>
      </c>
      <c r="B38" s="174"/>
      <c r="C38" s="124" t="s">
        <v>246</v>
      </c>
      <c r="D38" s="125" t="s">
        <v>247</v>
      </c>
      <c r="E38" s="126" t="s">
        <v>201</v>
      </c>
      <c r="F38" s="128" t="s">
        <v>248</v>
      </c>
      <c r="G38" s="11" t="s">
        <v>237</v>
      </c>
      <c r="H38" s="11" t="s">
        <v>249</v>
      </c>
      <c r="I38" s="52" t="s">
        <v>250</v>
      </c>
      <c r="J38" s="126" t="s">
        <v>251</v>
      </c>
      <c r="K38" s="11">
        <v>1</v>
      </c>
      <c r="L38" s="11">
        <f t="shared" si="12"/>
        <v>5</v>
      </c>
      <c r="M38" s="11">
        <f t="shared" si="13"/>
        <v>50</v>
      </c>
      <c r="N38" s="11">
        <f t="shared" si="14"/>
        <v>100</v>
      </c>
      <c r="O38" s="31">
        <v>10</v>
      </c>
      <c r="P38" s="31">
        <v>60</v>
      </c>
      <c r="Q38" s="31">
        <v>110</v>
      </c>
      <c r="R38" s="60" t="s">
        <v>33</v>
      </c>
      <c r="S38" s="61">
        <v>5.6000000000000001E-2</v>
      </c>
      <c r="T38" s="61">
        <f t="shared" si="15"/>
        <v>0.56000000000000005</v>
      </c>
      <c r="U38" s="61">
        <v>5.6000000000000001E-2</v>
      </c>
      <c r="V38" s="61">
        <f t="shared" si="16"/>
        <v>3.36</v>
      </c>
      <c r="W38" s="61">
        <v>4.6300000000000001E-2</v>
      </c>
      <c r="X38" s="61">
        <f t="shared" si="17"/>
        <v>5.093</v>
      </c>
      <c r="Y38" s="92"/>
    </row>
    <row r="39" spans="1:25">
      <c r="A39" s="7">
        <v>36</v>
      </c>
      <c r="B39" s="174"/>
      <c r="C39" s="124" t="s">
        <v>252</v>
      </c>
      <c r="D39" s="180" t="s">
        <v>438</v>
      </c>
      <c r="E39" s="126" t="s">
        <v>201</v>
      </c>
      <c r="F39" s="126" t="s">
        <v>253</v>
      </c>
      <c r="G39" s="11" t="s">
        <v>44</v>
      </c>
      <c r="H39" s="11" t="s">
        <v>254</v>
      </c>
      <c r="I39" s="30" t="s">
        <v>31</v>
      </c>
      <c r="J39" s="126" t="s">
        <v>255</v>
      </c>
      <c r="K39" s="11">
        <v>3</v>
      </c>
      <c r="L39" s="11">
        <f t="shared" si="12"/>
        <v>15</v>
      </c>
      <c r="M39" s="11">
        <f t="shared" si="13"/>
        <v>150</v>
      </c>
      <c r="N39" s="11">
        <f t="shared" si="14"/>
        <v>300</v>
      </c>
      <c r="O39" s="31">
        <v>100</v>
      </c>
      <c r="P39" s="31">
        <v>300</v>
      </c>
      <c r="Q39" s="31">
        <v>500</v>
      </c>
      <c r="R39" s="60" t="s">
        <v>33</v>
      </c>
      <c r="S39" s="61">
        <v>6.9999999999999999E-4</v>
      </c>
      <c r="T39" s="61">
        <f t="shared" si="15"/>
        <v>6.9999999999999993E-2</v>
      </c>
      <c r="U39" s="61">
        <v>6.9999999999999999E-4</v>
      </c>
      <c r="V39" s="61">
        <f t="shared" si="16"/>
        <v>0.21</v>
      </c>
      <c r="W39" s="61">
        <v>6.9999999999999999E-4</v>
      </c>
      <c r="X39" s="61">
        <f t="shared" si="17"/>
        <v>0.35</v>
      </c>
      <c r="Y39" s="181" t="s">
        <v>439</v>
      </c>
    </row>
    <row r="40" spans="1:25">
      <c r="A40" s="7">
        <v>37</v>
      </c>
      <c r="B40" s="174"/>
      <c r="C40" s="124" t="s">
        <v>256</v>
      </c>
      <c r="D40" s="125" t="s">
        <v>257</v>
      </c>
      <c r="E40" s="126" t="s">
        <v>201</v>
      </c>
      <c r="F40" s="126" t="s">
        <v>258</v>
      </c>
      <c r="G40" s="11" t="s">
        <v>259</v>
      </c>
      <c r="H40" s="11" t="s">
        <v>260</v>
      </c>
      <c r="I40" s="30" t="s">
        <v>31</v>
      </c>
      <c r="J40" s="126" t="s">
        <v>261</v>
      </c>
      <c r="K40" s="11">
        <v>3</v>
      </c>
      <c r="L40" s="11">
        <f t="shared" si="12"/>
        <v>15</v>
      </c>
      <c r="M40" s="11">
        <f t="shared" si="13"/>
        <v>150</v>
      </c>
      <c r="N40" s="11">
        <f t="shared" si="14"/>
        <v>300</v>
      </c>
      <c r="O40" s="31">
        <v>100</v>
      </c>
      <c r="P40" s="31">
        <v>200</v>
      </c>
      <c r="Q40" s="31">
        <v>400</v>
      </c>
      <c r="R40" s="60" t="s">
        <v>33</v>
      </c>
      <c r="S40" s="61">
        <v>8.9999999999999998E-4</v>
      </c>
      <c r="T40" s="61">
        <f t="shared" si="15"/>
        <v>0.09</v>
      </c>
      <c r="U40" s="61">
        <v>8.9999999999999998E-4</v>
      </c>
      <c r="V40" s="61">
        <f t="shared" si="16"/>
        <v>0.18</v>
      </c>
      <c r="W40" s="61">
        <v>8.9999999999999998E-4</v>
      </c>
      <c r="X40" s="61">
        <f t="shared" si="17"/>
        <v>0.36</v>
      </c>
      <c r="Y40" s="92"/>
    </row>
    <row r="41" spans="1:25" ht="25.5">
      <c r="A41" s="7">
        <v>38</v>
      </c>
      <c r="B41" s="174"/>
      <c r="C41" s="157" t="s">
        <v>262</v>
      </c>
      <c r="D41" s="125" t="s">
        <v>263</v>
      </c>
      <c r="E41" s="126" t="s">
        <v>264</v>
      </c>
      <c r="F41" s="126" t="s">
        <v>265</v>
      </c>
      <c r="G41" s="11" t="s">
        <v>266</v>
      </c>
      <c r="H41" s="11" t="s">
        <v>267</v>
      </c>
      <c r="I41" s="30" t="s">
        <v>31</v>
      </c>
      <c r="J41" s="126" t="s">
        <v>268</v>
      </c>
      <c r="K41" s="11">
        <v>1</v>
      </c>
      <c r="L41" s="11">
        <f t="shared" si="12"/>
        <v>5</v>
      </c>
      <c r="M41" s="11">
        <f t="shared" si="13"/>
        <v>50</v>
      </c>
      <c r="N41" s="11">
        <f t="shared" si="14"/>
        <v>100</v>
      </c>
      <c r="O41" s="31">
        <v>100</v>
      </c>
      <c r="P41" s="31">
        <v>100</v>
      </c>
      <c r="Q41" s="31">
        <v>200</v>
      </c>
      <c r="R41" s="60" t="s">
        <v>33</v>
      </c>
      <c r="S41" s="61">
        <v>1.6999999999999999E-3</v>
      </c>
      <c r="T41" s="61">
        <f t="shared" si="15"/>
        <v>0.16999999999999998</v>
      </c>
      <c r="U41" s="61">
        <v>1.6999999999999999E-3</v>
      </c>
      <c r="V41" s="61">
        <f t="shared" si="16"/>
        <v>0.16999999999999998</v>
      </c>
      <c r="W41" s="61">
        <v>1.6999999999999999E-3</v>
      </c>
      <c r="X41" s="61">
        <f t="shared" si="17"/>
        <v>0.33999999999999997</v>
      </c>
      <c r="Y41" s="92"/>
    </row>
    <row r="42" spans="1:25">
      <c r="A42" s="7">
        <v>39</v>
      </c>
      <c r="B42" s="174"/>
      <c r="C42" s="124" t="s">
        <v>269</v>
      </c>
      <c r="D42" s="125" t="s">
        <v>270</v>
      </c>
      <c r="E42" s="126" t="s">
        <v>201</v>
      </c>
      <c r="F42" s="126" t="s">
        <v>271</v>
      </c>
      <c r="G42" s="11" t="s">
        <v>44</v>
      </c>
      <c r="H42" s="11" t="s">
        <v>272</v>
      </c>
      <c r="I42" s="30" t="s">
        <v>31</v>
      </c>
      <c r="J42" s="126" t="s">
        <v>273</v>
      </c>
      <c r="K42" s="11">
        <v>3</v>
      </c>
      <c r="L42" s="11">
        <f t="shared" si="12"/>
        <v>15</v>
      </c>
      <c r="M42" s="11">
        <f t="shared" si="13"/>
        <v>150</v>
      </c>
      <c r="N42" s="11">
        <f t="shared" si="14"/>
        <v>300</v>
      </c>
      <c r="O42" s="31">
        <v>100</v>
      </c>
      <c r="P42" s="31">
        <v>200</v>
      </c>
      <c r="Q42" s="31">
        <v>400</v>
      </c>
      <c r="R42" s="60" t="s">
        <v>33</v>
      </c>
      <c r="S42" s="61">
        <v>3.2000000000000002E-3</v>
      </c>
      <c r="T42" s="61">
        <f t="shared" si="15"/>
        <v>0.32</v>
      </c>
      <c r="U42" s="61">
        <v>3.2000000000000002E-3</v>
      </c>
      <c r="V42" s="61">
        <f t="shared" si="16"/>
        <v>0.64</v>
      </c>
      <c r="W42" s="61">
        <v>3.2000000000000002E-3</v>
      </c>
      <c r="X42" s="61">
        <f t="shared" si="17"/>
        <v>1.28</v>
      </c>
      <c r="Y42" s="92"/>
    </row>
    <row r="43" spans="1:25">
      <c r="A43" s="7">
        <v>40</v>
      </c>
      <c r="B43" s="174"/>
      <c r="C43" s="124" t="s">
        <v>274</v>
      </c>
      <c r="D43" s="125" t="s">
        <v>275</v>
      </c>
      <c r="E43" s="126" t="s">
        <v>201</v>
      </c>
      <c r="F43" s="128" t="s">
        <v>276</v>
      </c>
      <c r="G43" s="11" t="s">
        <v>29</v>
      </c>
      <c r="H43" s="11" t="s">
        <v>277</v>
      </c>
      <c r="I43" s="52" t="s">
        <v>278</v>
      </c>
      <c r="J43" s="126" t="s">
        <v>279</v>
      </c>
      <c r="K43" s="11">
        <v>2</v>
      </c>
      <c r="L43" s="11">
        <f t="shared" si="12"/>
        <v>10</v>
      </c>
      <c r="M43" s="11">
        <f t="shared" si="13"/>
        <v>100</v>
      </c>
      <c r="N43" s="11">
        <f t="shared" si="14"/>
        <v>200</v>
      </c>
      <c r="O43" s="31">
        <v>100</v>
      </c>
      <c r="P43" s="31">
        <v>200</v>
      </c>
      <c r="Q43" s="31">
        <v>300</v>
      </c>
      <c r="R43" s="60" t="s">
        <v>33</v>
      </c>
      <c r="S43" s="61">
        <v>4.4000000000000003E-3</v>
      </c>
      <c r="T43" s="61">
        <f t="shared" si="15"/>
        <v>0.44</v>
      </c>
      <c r="U43" s="61">
        <v>4.4000000000000003E-3</v>
      </c>
      <c r="V43" s="61">
        <f t="shared" si="16"/>
        <v>0.88</v>
      </c>
      <c r="W43" s="61">
        <v>4.4000000000000003E-3</v>
      </c>
      <c r="X43" s="61">
        <f t="shared" si="17"/>
        <v>1.32</v>
      </c>
      <c r="Y43" s="92"/>
    </row>
    <row r="44" spans="1:25">
      <c r="A44" s="7">
        <v>41</v>
      </c>
      <c r="B44" s="174"/>
      <c r="C44" s="124" t="s">
        <v>280</v>
      </c>
      <c r="D44" s="125" t="s">
        <v>281</v>
      </c>
      <c r="E44" s="126" t="s">
        <v>282</v>
      </c>
      <c r="F44" s="128" t="s">
        <v>283</v>
      </c>
      <c r="G44" s="11" t="s">
        <v>284</v>
      </c>
      <c r="H44" s="11" t="s">
        <v>285</v>
      </c>
      <c r="I44" s="52" t="s">
        <v>286</v>
      </c>
      <c r="J44" s="126" t="s">
        <v>287</v>
      </c>
      <c r="K44" s="11">
        <v>1</v>
      </c>
      <c r="L44" s="11">
        <f t="shared" si="12"/>
        <v>5</v>
      </c>
      <c r="M44" s="11">
        <f t="shared" si="13"/>
        <v>50</v>
      </c>
      <c r="N44" s="11">
        <f t="shared" si="14"/>
        <v>100</v>
      </c>
      <c r="O44" s="31">
        <v>20</v>
      </c>
      <c r="P44" s="31">
        <v>60</v>
      </c>
      <c r="Q44" s="31">
        <v>120</v>
      </c>
      <c r="R44" s="60" t="s">
        <v>33</v>
      </c>
      <c r="S44" s="61">
        <v>2.81E-2</v>
      </c>
      <c r="T44" s="61">
        <f t="shared" si="15"/>
        <v>0.56200000000000006</v>
      </c>
      <c r="U44" s="61">
        <v>2.81E-2</v>
      </c>
      <c r="V44" s="61">
        <f t="shared" si="16"/>
        <v>1.6859999999999999</v>
      </c>
      <c r="W44" s="63">
        <v>2.3199999999999998E-2</v>
      </c>
      <c r="X44" s="61">
        <f t="shared" si="17"/>
        <v>2.7839999999999998</v>
      </c>
      <c r="Y44" s="94" t="s">
        <v>288</v>
      </c>
    </row>
    <row r="45" spans="1:25">
      <c r="A45" s="7">
        <v>42</v>
      </c>
      <c r="B45" s="174"/>
      <c r="C45" s="124" t="s">
        <v>289</v>
      </c>
      <c r="D45" s="125" t="s">
        <v>290</v>
      </c>
      <c r="E45" s="126" t="s">
        <v>201</v>
      </c>
      <c r="F45" s="126" t="s">
        <v>291</v>
      </c>
      <c r="G45" s="11" t="s">
        <v>44</v>
      </c>
      <c r="H45" s="11" t="s">
        <v>292</v>
      </c>
      <c r="I45" s="30" t="s">
        <v>31</v>
      </c>
      <c r="J45" s="126" t="s">
        <v>293</v>
      </c>
      <c r="K45" s="11">
        <v>2</v>
      </c>
      <c r="L45" s="11">
        <f t="shared" si="12"/>
        <v>10</v>
      </c>
      <c r="M45" s="11">
        <f t="shared" si="13"/>
        <v>100</v>
      </c>
      <c r="N45" s="11">
        <f t="shared" si="14"/>
        <v>200</v>
      </c>
      <c r="O45" s="31">
        <v>100</v>
      </c>
      <c r="P45" s="31">
        <v>200</v>
      </c>
      <c r="Q45" s="31">
        <v>300</v>
      </c>
      <c r="R45" s="60" t="s">
        <v>33</v>
      </c>
      <c r="S45" s="61">
        <v>8.0000000000000004E-4</v>
      </c>
      <c r="T45" s="61">
        <f t="shared" si="15"/>
        <v>0.08</v>
      </c>
      <c r="U45" s="61">
        <v>8.0000000000000004E-4</v>
      </c>
      <c r="V45" s="61">
        <f t="shared" si="16"/>
        <v>0.16</v>
      </c>
      <c r="W45" s="61">
        <v>8.0000000000000004E-4</v>
      </c>
      <c r="X45" s="61">
        <f t="shared" si="17"/>
        <v>0.24000000000000002</v>
      </c>
      <c r="Y45" s="92"/>
    </row>
    <row r="46" spans="1:25">
      <c r="A46" s="7">
        <v>43</v>
      </c>
      <c r="B46" s="174"/>
      <c r="C46" s="124" t="s">
        <v>294</v>
      </c>
      <c r="D46" s="125" t="s">
        <v>295</v>
      </c>
      <c r="E46" s="126" t="s">
        <v>201</v>
      </c>
      <c r="F46" s="126" t="s">
        <v>296</v>
      </c>
      <c r="G46" s="11" t="s">
        <v>44</v>
      </c>
      <c r="H46" s="11" t="s">
        <v>297</v>
      </c>
      <c r="I46" s="30" t="s">
        <v>31</v>
      </c>
      <c r="J46" s="126" t="s">
        <v>298</v>
      </c>
      <c r="K46" s="11">
        <v>1</v>
      </c>
      <c r="L46" s="11">
        <f t="shared" si="12"/>
        <v>5</v>
      </c>
      <c r="M46" s="11">
        <f t="shared" si="13"/>
        <v>50</v>
      </c>
      <c r="N46" s="11">
        <f t="shared" si="14"/>
        <v>100</v>
      </c>
      <c r="O46" s="31">
        <v>100</v>
      </c>
      <c r="P46" s="31">
        <v>100</v>
      </c>
      <c r="Q46" s="31">
        <v>200</v>
      </c>
      <c r="R46" s="60" t="s">
        <v>33</v>
      </c>
      <c r="S46" s="61">
        <v>1.1999999999999999E-3</v>
      </c>
      <c r="T46" s="61">
        <f t="shared" si="15"/>
        <v>0.12</v>
      </c>
      <c r="U46" s="61">
        <v>1.1999999999999999E-3</v>
      </c>
      <c r="V46" s="61">
        <f t="shared" si="16"/>
        <v>0.12</v>
      </c>
      <c r="W46" s="61">
        <v>1.1999999999999999E-3</v>
      </c>
      <c r="X46" s="61">
        <f t="shared" si="17"/>
        <v>0.24</v>
      </c>
      <c r="Y46" s="92"/>
    </row>
    <row r="47" spans="1:25">
      <c r="A47" s="7">
        <v>44</v>
      </c>
      <c r="B47" s="174"/>
      <c r="C47" s="124" t="s">
        <v>299</v>
      </c>
      <c r="D47" s="125" t="s">
        <v>300</v>
      </c>
      <c r="E47" s="126" t="s">
        <v>201</v>
      </c>
      <c r="F47" s="126" t="s">
        <v>301</v>
      </c>
      <c r="G47" s="11" t="s">
        <v>44</v>
      </c>
      <c r="H47" s="11" t="s">
        <v>302</v>
      </c>
      <c r="I47" s="30" t="s">
        <v>31</v>
      </c>
      <c r="J47" s="126" t="s">
        <v>303</v>
      </c>
      <c r="K47" s="11">
        <v>1</v>
      </c>
      <c r="L47" s="11">
        <f t="shared" si="12"/>
        <v>5</v>
      </c>
      <c r="M47" s="11">
        <f t="shared" si="13"/>
        <v>50</v>
      </c>
      <c r="N47" s="11">
        <f t="shared" si="14"/>
        <v>100</v>
      </c>
      <c r="O47" s="31">
        <v>100</v>
      </c>
      <c r="P47" s="31">
        <v>100</v>
      </c>
      <c r="Q47" s="31">
        <v>200</v>
      </c>
      <c r="R47" s="60" t="s">
        <v>33</v>
      </c>
      <c r="S47" s="61">
        <v>8.9999999999999998E-4</v>
      </c>
      <c r="T47" s="61">
        <f t="shared" si="15"/>
        <v>0.09</v>
      </c>
      <c r="U47" s="61">
        <v>8.9999999999999998E-4</v>
      </c>
      <c r="V47" s="61">
        <f t="shared" si="16"/>
        <v>0.09</v>
      </c>
      <c r="W47" s="61">
        <v>8.9999999999999998E-4</v>
      </c>
      <c r="X47" s="61">
        <f t="shared" si="17"/>
        <v>0.18</v>
      </c>
      <c r="Y47" s="92"/>
    </row>
    <row r="48" spans="1:25">
      <c r="A48" s="7">
        <v>45</v>
      </c>
      <c r="B48" s="174"/>
      <c r="C48" s="124" t="s">
        <v>304</v>
      </c>
      <c r="D48" s="125" t="s">
        <v>305</v>
      </c>
      <c r="E48" s="126" t="s">
        <v>201</v>
      </c>
      <c r="F48" s="126" t="s">
        <v>306</v>
      </c>
      <c r="G48" s="11" t="s">
        <v>44</v>
      </c>
      <c r="H48" s="11" t="s">
        <v>307</v>
      </c>
      <c r="I48" s="30" t="s">
        <v>31</v>
      </c>
      <c r="J48" s="126" t="s">
        <v>308</v>
      </c>
      <c r="K48" s="11">
        <v>1</v>
      </c>
      <c r="L48" s="11">
        <f t="shared" si="12"/>
        <v>5</v>
      </c>
      <c r="M48" s="11">
        <f t="shared" si="13"/>
        <v>50</v>
      </c>
      <c r="N48" s="11">
        <f t="shared" si="14"/>
        <v>100</v>
      </c>
      <c r="O48" s="31">
        <v>100</v>
      </c>
      <c r="P48" s="31">
        <v>100</v>
      </c>
      <c r="Q48" s="31">
        <v>200</v>
      </c>
      <c r="R48" s="60" t="s">
        <v>33</v>
      </c>
      <c r="S48" s="61">
        <v>8.9999999999999998E-4</v>
      </c>
      <c r="T48" s="61">
        <f t="shared" si="15"/>
        <v>0.09</v>
      </c>
      <c r="U48" s="61">
        <v>8.9999999999999998E-4</v>
      </c>
      <c r="V48" s="61">
        <f t="shared" si="16"/>
        <v>0.09</v>
      </c>
      <c r="W48" s="61">
        <v>8.9999999999999998E-4</v>
      </c>
      <c r="X48" s="61">
        <f t="shared" si="17"/>
        <v>0.18</v>
      </c>
      <c r="Y48" s="92"/>
    </row>
    <row r="49" spans="1:25">
      <c r="A49" s="7">
        <v>46</v>
      </c>
      <c r="B49" s="174"/>
      <c r="C49" s="124" t="s">
        <v>309</v>
      </c>
      <c r="D49" s="125" t="s">
        <v>310</v>
      </c>
      <c r="E49" s="126" t="s">
        <v>201</v>
      </c>
      <c r="F49" s="126" t="s">
        <v>311</v>
      </c>
      <c r="G49" s="11" t="s">
        <v>44</v>
      </c>
      <c r="H49" s="11" t="s">
        <v>312</v>
      </c>
      <c r="I49" s="30" t="s">
        <v>31</v>
      </c>
      <c r="J49" s="126" t="s">
        <v>313</v>
      </c>
      <c r="K49" s="11">
        <v>1</v>
      </c>
      <c r="L49" s="11">
        <f t="shared" si="12"/>
        <v>5</v>
      </c>
      <c r="M49" s="11">
        <f t="shared" si="13"/>
        <v>50</v>
      </c>
      <c r="N49" s="11">
        <f t="shared" si="14"/>
        <v>100</v>
      </c>
      <c r="O49" s="31">
        <v>100</v>
      </c>
      <c r="P49" s="31">
        <v>100</v>
      </c>
      <c r="Q49" s="31">
        <v>200</v>
      </c>
      <c r="R49" s="60" t="s">
        <v>33</v>
      </c>
      <c r="S49" s="61">
        <v>1.1999999999999999E-3</v>
      </c>
      <c r="T49" s="61">
        <f t="shared" si="15"/>
        <v>0.12</v>
      </c>
      <c r="U49" s="61">
        <v>1.1999999999999999E-3</v>
      </c>
      <c r="V49" s="61">
        <f t="shared" si="16"/>
        <v>0.12</v>
      </c>
      <c r="W49" s="61">
        <v>1.1999999999999999E-3</v>
      </c>
      <c r="X49" s="61">
        <f t="shared" si="17"/>
        <v>0.24</v>
      </c>
      <c r="Y49" s="92"/>
    </row>
    <row r="50" spans="1:25">
      <c r="A50" s="7">
        <v>47</v>
      </c>
      <c r="B50" s="179"/>
      <c r="C50" s="137" t="s">
        <v>314</v>
      </c>
      <c r="D50" s="138" t="s">
        <v>315</v>
      </c>
      <c r="E50" s="139" t="s">
        <v>201</v>
      </c>
      <c r="F50" s="139" t="s">
        <v>316</v>
      </c>
      <c r="G50" s="18" t="s">
        <v>203</v>
      </c>
      <c r="H50" s="18" t="s">
        <v>317</v>
      </c>
      <c r="I50" s="46" t="s">
        <v>31</v>
      </c>
      <c r="J50" s="139" t="s">
        <v>318</v>
      </c>
      <c r="K50" s="18">
        <v>1</v>
      </c>
      <c r="L50" s="18">
        <f t="shared" si="12"/>
        <v>5</v>
      </c>
      <c r="M50" s="18">
        <f t="shared" si="13"/>
        <v>50</v>
      </c>
      <c r="N50" s="18">
        <f t="shared" si="14"/>
        <v>100</v>
      </c>
      <c r="O50" s="36">
        <v>100</v>
      </c>
      <c r="P50" s="36">
        <v>100</v>
      </c>
      <c r="Q50" s="36">
        <v>200</v>
      </c>
      <c r="R50" s="71" t="s">
        <v>33</v>
      </c>
      <c r="S50" s="73">
        <v>1.1000000000000001E-3</v>
      </c>
      <c r="T50" s="73">
        <f t="shared" si="15"/>
        <v>0.11</v>
      </c>
      <c r="U50" s="73">
        <v>1.1000000000000001E-3</v>
      </c>
      <c r="V50" s="73">
        <f t="shared" si="16"/>
        <v>0.11</v>
      </c>
      <c r="W50" s="73">
        <v>1.1000000000000001E-3</v>
      </c>
      <c r="X50" s="73">
        <f t="shared" si="17"/>
        <v>0.22</v>
      </c>
      <c r="Y50" s="100"/>
    </row>
    <row r="51" spans="1:25">
      <c r="A51" s="7">
        <v>48</v>
      </c>
      <c r="B51" s="173" t="s">
        <v>319</v>
      </c>
      <c r="C51" s="121" t="s">
        <v>320</v>
      </c>
      <c r="D51" s="122" t="s">
        <v>321</v>
      </c>
      <c r="E51" s="158" t="s">
        <v>171</v>
      </c>
      <c r="F51" s="123" t="s">
        <v>322</v>
      </c>
      <c r="G51" s="10" t="s">
        <v>323</v>
      </c>
      <c r="H51" s="10" t="s">
        <v>324</v>
      </c>
      <c r="I51" s="28" t="s">
        <v>31</v>
      </c>
      <c r="J51" s="34" t="s">
        <v>133</v>
      </c>
      <c r="K51" s="10">
        <v>1</v>
      </c>
      <c r="L51" s="10">
        <f t="shared" si="12"/>
        <v>5</v>
      </c>
      <c r="M51" s="10">
        <f t="shared" si="13"/>
        <v>50</v>
      </c>
      <c r="N51" s="10">
        <f t="shared" si="14"/>
        <v>100</v>
      </c>
      <c r="O51" s="29">
        <v>7</v>
      </c>
      <c r="P51" s="29">
        <v>53</v>
      </c>
      <c r="Q51" s="29">
        <v>105</v>
      </c>
      <c r="R51" s="57" t="s">
        <v>33</v>
      </c>
      <c r="S51" s="81">
        <v>0.60050000000000003</v>
      </c>
      <c r="T51" s="59">
        <f t="shared" si="15"/>
        <v>4.2035</v>
      </c>
      <c r="U51" s="59">
        <v>0.40760000000000002</v>
      </c>
      <c r="V51" s="59">
        <f t="shared" si="16"/>
        <v>21.602800000000002</v>
      </c>
      <c r="W51" s="59">
        <v>0.33910000000000001</v>
      </c>
      <c r="X51" s="59">
        <f t="shared" si="17"/>
        <v>35.605499999999999</v>
      </c>
      <c r="Y51" s="91"/>
    </row>
    <row r="52" spans="1:25">
      <c r="A52" s="7">
        <v>49</v>
      </c>
      <c r="B52" s="174"/>
      <c r="C52" s="130" t="s">
        <v>325</v>
      </c>
      <c r="D52" s="131" t="s">
        <v>326</v>
      </c>
      <c r="E52" s="132" t="s">
        <v>327</v>
      </c>
      <c r="F52" s="131" t="s">
        <v>328</v>
      </c>
      <c r="G52" s="13" t="s">
        <v>329</v>
      </c>
      <c r="H52" s="13"/>
      <c r="I52" s="54" t="s">
        <v>31</v>
      </c>
      <c r="J52" s="54" t="s">
        <v>133</v>
      </c>
      <c r="K52" s="13">
        <v>1</v>
      </c>
      <c r="L52" s="13">
        <f t="shared" si="12"/>
        <v>5</v>
      </c>
      <c r="M52" s="13">
        <f t="shared" si="13"/>
        <v>50</v>
      </c>
      <c r="N52" s="13">
        <f t="shared" si="14"/>
        <v>100</v>
      </c>
      <c r="O52" s="32">
        <v>135</v>
      </c>
      <c r="P52" s="32">
        <v>135</v>
      </c>
      <c r="Q52" s="32">
        <v>135</v>
      </c>
      <c r="R52" s="88" t="s">
        <v>197</v>
      </c>
      <c r="S52" s="65">
        <v>0.38</v>
      </c>
      <c r="T52" s="65">
        <f t="shared" si="15"/>
        <v>51.3</v>
      </c>
      <c r="U52" s="65">
        <v>0.38</v>
      </c>
      <c r="V52" s="65">
        <f t="shared" si="16"/>
        <v>51.3</v>
      </c>
      <c r="W52" s="65">
        <v>0.38</v>
      </c>
      <c r="X52" s="65">
        <f t="shared" si="17"/>
        <v>51.3</v>
      </c>
      <c r="Y52" s="94" t="s">
        <v>330</v>
      </c>
    </row>
    <row r="53" spans="1:25">
      <c r="A53" s="7">
        <v>50</v>
      </c>
      <c r="B53" s="174"/>
      <c r="C53" s="130" t="s">
        <v>331</v>
      </c>
      <c r="D53" s="131" t="s">
        <v>332</v>
      </c>
      <c r="E53" s="132" t="s">
        <v>152</v>
      </c>
      <c r="F53" s="132" t="s">
        <v>333</v>
      </c>
      <c r="G53" s="13" t="s">
        <v>163</v>
      </c>
      <c r="H53" s="13"/>
      <c r="I53" s="54" t="s">
        <v>31</v>
      </c>
      <c r="J53" s="54" t="s">
        <v>133</v>
      </c>
      <c r="K53" s="13">
        <v>1</v>
      </c>
      <c r="L53" s="13">
        <f t="shared" si="12"/>
        <v>5</v>
      </c>
      <c r="M53" s="13">
        <f t="shared" si="13"/>
        <v>50</v>
      </c>
      <c r="N53" s="13">
        <f t="shared" si="14"/>
        <v>100</v>
      </c>
      <c r="O53" s="32">
        <v>10</v>
      </c>
      <c r="P53" s="32">
        <v>55</v>
      </c>
      <c r="Q53" s="32">
        <v>120</v>
      </c>
      <c r="R53" s="64" t="s">
        <v>334</v>
      </c>
      <c r="S53" s="65">
        <v>0.79</v>
      </c>
      <c r="T53" s="65">
        <f t="shared" si="15"/>
        <v>7.9</v>
      </c>
      <c r="U53" s="65">
        <v>0.79</v>
      </c>
      <c r="V53" s="65">
        <f t="shared" si="16"/>
        <v>43.45</v>
      </c>
      <c r="W53" s="65">
        <v>0.79</v>
      </c>
      <c r="X53" s="65">
        <f t="shared" si="17"/>
        <v>94.800000000000011</v>
      </c>
      <c r="Y53" s="94"/>
    </row>
    <row r="54" spans="1:25">
      <c r="A54" s="7">
        <v>51</v>
      </c>
      <c r="B54" s="174"/>
      <c r="C54" s="124" t="s">
        <v>335</v>
      </c>
      <c r="D54" s="125" t="s">
        <v>336</v>
      </c>
      <c r="E54" s="126" t="s">
        <v>337</v>
      </c>
      <c r="F54" s="126" t="s">
        <v>338</v>
      </c>
      <c r="G54" s="11" t="s">
        <v>339</v>
      </c>
      <c r="H54" s="11" t="s">
        <v>340</v>
      </c>
      <c r="I54" s="30" t="s">
        <v>31</v>
      </c>
      <c r="J54" s="43" t="s">
        <v>133</v>
      </c>
      <c r="K54" s="11">
        <v>1</v>
      </c>
      <c r="L54" s="11">
        <f t="shared" si="12"/>
        <v>5</v>
      </c>
      <c r="M54" s="11">
        <f t="shared" si="13"/>
        <v>50</v>
      </c>
      <c r="N54" s="11">
        <f t="shared" si="14"/>
        <v>100</v>
      </c>
      <c r="O54" s="31">
        <v>10</v>
      </c>
      <c r="P54" s="31">
        <v>53</v>
      </c>
      <c r="Q54" s="31">
        <v>105</v>
      </c>
      <c r="R54" s="60" t="s">
        <v>33</v>
      </c>
      <c r="S54" s="61">
        <v>0.1265</v>
      </c>
      <c r="T54" s="61">
        <f t="shared" si="15"/>
        <v>1.2650000000000001</v>
      </c>
      <c r="U54" s="61">
        <v>0.1076</v>
      </c>
      <c r="V54" s="61">
        <f t="shared" si="16"/>
        <v>5.7027999999999999</v>
      </c>
      <c r="W54" s="61">
        <v>0.1076</v>
      </c>
      <c r="X54" s="61">
        <f t="shared" si="17"/>
        <v>11.298</v>
      </c>
      <c r="Y54" s="92"/>
    </row>
    <row r="55" spans="1:25">
      <c r="A55" s="7">
        <v>52</v>
      </c>
      <c r="B55" s="174"/>
      <c r="C55" s="130" t="s">
        <v>341</v>
      </c>
      <c r="D55" s="131" t="s">
        <v>342</v>
      </c>
      <c r="E55" s="132" t="s">
        <v>343</v>
      </c>
      <c r="F55" s="132" t="s">
        <v>344</v>
      </c>
      <c r="G55" s="13" t="s">
        <v>345</v>
      </c>
      <c r="H55" s="13"/>
      <c r="I55" s="54" t="s">
        <v>31</v>
      </c>
      <c r="J55" s="54" t="s">
        <v>133</v>
      </c>
      <c r="K55" s="13">
        <v>1</v>
      </c>
      <c r="L55" s="13">
        <f t="shared" si="12"/>
        <v>5</v>
      </c>
      <c r="M55" s="13">
        <f t="shared" si="13"/>
        <v>50</v>
      </c>
      <c r="N55" s="13">
        <f t="shared" si="14"/>
        <v>100</v>
      </c>
      <c r="O55" s="32"/>
      <c r="P55" s="32"/>
      <c r="Q55" s="32"/>
      <c r="R55" s="13"/>
      <c r="S55" s="65"/>
      <c r="T55" s="65">
        <f t="shared" si="15"/>
        <v>0</v>
      </c>
      <c r="U55" s="65"/>
      <c r="V55" s="65">
        <f t="shared" si="16"/>
        <v>0</v>
      </c>
      <c r="W55" s="65"/>
      <c r="X55" s="65">
        <f t="shared" si="17"/>
        <v>0</v>
      </c>
      <c r="Y55" s="94" t="s">
        <v>346</v>
      </c>
    </row>
    <row r="56" spans="1:25">
      <c r="A56" s="7">
        <v>53</v>
      </c>
      <c r="B56" s="174"/>
      <c r="C56" s="124" t="s">
        <v>347</v>
      </c>
      <c r="D56" s="125" t="s">
        <v>348</v>
      </c>
      <c r="E56" s="126" t="s">
        <v>349</v>
      </c>
      <c r="F56" s="126" t="s">
        <v>350</v>
      </c>
      <c r="G56" s="11" t="s">
        <v>351</v>
      </c>
      <c r="H56" s="11" t="s">
        <v>352</v>
      </c>
      <c r="I56" s="30" t="s">
        <v>31</v>
      </c>
      <c r="J56" s="43" t="s">
        <v>133</v>
      </c>
      <c r="K56" s="11">
        <v>1</v>
      </c>
      <c r="L56" s="11">
        <f t="shared" si="12"/>
        <v>5</v>
      </c>
      <c r="M56" s="11">
        <f t="shared" si="13"/>
        <v>50</v>
      </c>
      <c r="N56" s="11">
        <f t="shared" si="14"/>
        <v>100</v>
      </c>
      <c r="O56" s="31">
        <v>7</v>
      </c>
      <c r="P56" s="31">
        <v>53</v>
      </c>
      <c r="Q56" s="31">
        <v>105</v>
      </c>
      <c r="R56" s="60" t="s">
        <v>33</v>
      </c>
      <c r="S56" s="63">
        <v>1.5291999999999999</v>
      </c>
      <c r="T56" s="61">
        <f t="shared" si="15"/>
        <v>10.7044</v>
      </c>
      <c r="U56" s="61">
        <v>1.0513999999999999</v>
      </c>
      <c r="V56" s="61">
        <f t="shared" si="16"/>
        <v>55.724199999999996</v>
      </c>
      <c r="W56" s="61">
        <v>0.88549999999999995</v>
      </c>
      <c r="X56" s="61">
        <f t="shared" si="17"/>
        <v>92.977499999999992</v>
      </c>
      <c r="Y56" s="92"/>
    </row>
    <row r="57" spans="1:25">
      <c r="A57" s="7">
        <v>54</v>
      </c>
      <c r="B57" s="174"/>
      <c r="C57" s="130" t="s">
        <v>353</v>
      </c>
      <c r="D57" s="131" t="s">
        <v>354</v>
      </c>
      <c r="E57" s="132" t="s">
        <v>355</v>
      </c>
      <c r="F57" s="132" t="s">
        <v>356</v>
      </c>
      <c r="G57" s="13" t="s">
        <v>351</v>
      </c>
      <c r="H57" s="13"/>
      <c r="I57" s="54" t="s">
        <v>31</v>
      </c>
      <c r="J57" s="54" t="s">
        <v>133</v>
      </c>
      <c r="K57" s="13">
        <v>1</v>
      </c>
      <c r="L57" s="13">
        <f t="shared" si="12"/>
        <v>5</v>
      </c>
      <c r="M57" s="13">
        <f t="shared" si="13"/>
        <v>50</v>
      </c>
      <c r="N57" s="13">
        <f t="shared" si="14"/>
        <v>100</v>
      </c>
      <c r="O57" s="32">
        <v>10</v>
      </c>
      <c r="P57" s="32">
        <v>60</v>
      </c>
      <c r="Q57" s="32">
        <v>120</v>
      </c>
      <c r="R57" s="88" t="s">
        <v>334</v>
      </c>
      <c r="S57" s="65">
        <v>1.1499999999999999</v>
      </c>
      <c r="T57" s="65">
        <f t="shared" si="15"/>
        <v>11.5</v>
      </c>
      <c r="U57" s="65">
        <v>1.1499999999999999</v>
      </c>
      <c r="V57" s="65">
        <f t="shared" si="16"/>
        <v>69</v>
      </c>
      <c r="W57" s="65">
        <v>1.1499999999999999</v>
      </c>
      <c r="X57" s="65">
        <f t="shared" si="17"/>
        <v>138</v>
      </c>
      <c r="Y57" s="94"/>
    </row>
    <row r="58" spans="1:25">
      <c r="A58" s="7">
        <v>55</v>
      </c>
      <c r="B58" s="174"/>
      <c r="C58" s="124" t="s">
        <v>357</v>
      </c>
      <c r="D58" s="125" t="s">
        <v>358</v>
      </c>
      <c r="E58" s="126" t="s">
        <v>349</v>
      </c>
      <c r="F58" s="126" t="s">
        <v>359</v>
      </c>
      <c r="G58" s="11" t="s">
        <v>345</v>
      </c>
      <c r="H58" s="11" t="s">
        <v>360</v>
      </c>
      <c r="I58" s="30" t="s">
        <v>31</v>
      </c>
      <c r="J58" s="43" t="s">
        <v>133</v>
      </c>
      <c r="K58" s="11">
        <v>1</v>
      </c>
      <c r="L58" s="11">
        <f t="shared" si="12"/>
        <v>5</v>
      </c>
      <c r="M58" s="11">
        <f t="shared" si="13"/>
        <v>50</v>
      </c>
      <c r="N58" s="11">
        <f t="shared" si="14"/>
        <v>100</v>
      </c>
      <c r="O58" s="31">
        <v>7</v>
      </c>
      <c r="P58" s="31">
        <v>53</v>
      </c>
      <c r="Q58" s="31">
        <v>105</v>
      </c>
      <c r="R58" s="60" t="s">
        <v>33</v>
      </c>
      <c r="S58" s="63">
        <v>10.421200000000001</v>
      </c>
      <c r="T58" s="61">
        <f t="shared" si="15"/>
        <v>72.948400000000007</v>
      </c>
      <c r="U58" s="61">
        <v>9.5140999999999991</v>
      </c>
      <c r="V58" s="61">
        <f t="shared" si="16"/>
        <v>504.24729999999994</v>
      </c>
      <c r="W58" s="61">
        <v>9.3301999999999996</v>
      </c>
      <c r="X58" s="61">
        <f t="shared" si="17"/>
        <v>979.67099999999994</v>
      </c>
      <c r="Y58" s="92"/>
    </row>
    <row r="59" spans="1:25">
      <c r="A59" s="7">
        <v>56</v>
      </c>
      <c r="B59" s="174"/>
      <c r="C59" s="124" t="s">
        <v>361</v>
      </c>
      <c r="D59" s="125" t="s">
        <v>362</v>
      </c>
      <c r="E59" s="126" t="s">
        <v>349</v>
      </c>
      <c r="F59" s="126" t="s">
        <v>363</v>
      </c>
      <c r="G59" s="11" t="s">
        <v>351</v>
      </c>
      <c r="H59" s="11" t="s">
        <v>364</v>
      </c>
      <c r="I59" s="30" t="s">
        <v>31</v>
      </c>
      <c r="J59" s="43" t="s">
        <v>133</v>
      </c>
      <c r="K59" s="11">
        <v>1</v>
      </c>
      <c r="L59" s="11">
        <f t="shared" si="12"/>
        <v>5</v>
      </c>
      <c r="M59" s="11">
        <f t="shared" si="13"/>
        <v>50</v>
      </c>
      <c r="N59" s="11">
        <f t="shared" si="14"/>
        <v>100</v>
      </c>
      <c r="O59" s="31">
        <v>7</v>
      </c>
      <c r="P59" s="31">
        <v>53</v>
      </c>
      <c r="Q59" s="31">
        <v>105</v>
      </c>
      <c r="R59" s="60" t="s">
        <v>33</v>
      </c>
      <c r="S59" s="63">
        <v>3.9348000000000001</v>
      </c>
      <c r="T59" s="61">
        <f t="shared" si="15"/>
        <v>27.543600000000001</v>
      </c>
      <c r="U59" s="61">
        <v>2.6886999999999999</v>
      </c>
      <c r="V59" s="61">
        <f t="shared" si="16"/>
        <v>142.50109999999998</v>
      </c>
      <c r="W59" s="61">
        <v>2.2559</v>
      </c>
      <c r="X59" s="61">
        <f t="shared" si="17"/>
        <v>236.86949999999999</v>
      </c>
      <c r="Y59" s="92"/>
    </row>
    <row r="60" spans="1:25">
      <c r="A60" s="7">
        <v>57</v>
      </c>
      <c r="B60" s="179"/>
      <c r="C60" s="137" t="s">
        <v>365</v>
      </c>
      <c r="D60" s="138" t="s">
        <v>366</v>
      </c>
      <c r="E60" s="139" t="s">
        <v>367</v>
      </c>
      <c r="F60" s="139" t="s">
        <v>368</v>
      </c>
      <c r="G60" s="18" t="s">
        <v>369</v>
      </c>
      <c r="H60" s="18" t="s">
        <v>370</v>
      </c>
      <c r="I60" s="46" t="s">
        <v>31</v>
      </c>
      <c r="J60" s="35" t="s">
        <v>133</v>
      </c>
      <c r="K60" s="18">
        <v>1</v>
      </c>
      <c r="L60" s="18">
        <f t="shared" si="12"/>
        <v>5</v>
      </c>
      <c r="M60" s="18">
        <f t="shared" si="13"/>
        <v>50</v>
      </c>
      <c r="N60" s="18">
        <f t="shared" si="14"/>
        <v>100</v>
      </c>
      <c r="O60" s="36">
        <v>7</v>
      </c>
      <c r="P60" s="36">
        <v>53</v>
      </c>
      <c r="Q60" s="36">
        <v>105</v>
      </c>
      <c r="R60" s="71" t="s">
        <v>33</v>
      </c>
      <c r="S60" s="82">
        <v>0.84219999999999995</v>
      </c>
      <c r="T60" s="73">
        <f t="shared" si="15"/>
        <v>5.8953999999999995</v>
      </c>
      <c r="U60" s="73">
        <v>0.57530000000000003</v>
      </c>
      <c r="V60" s="73">
        <f t="shared" si="16"/>
        <v>30.490900000000003</v>
      </c>
      <c r="W60" s="73">
        <v>0.48330000000000001</v>
      </c>
      <c r="X60" s="73">
        <f t="shared" si="17"/>
        <v>50.746499999999997</v>
      </c>
      <c r="Y60" s="100"/>
    </row>
    <row r="61" spans="1:25" ht="25.5">
      <c r="A61" s="7">
        <v>58</v>
      </c>
      <c r="B61" s="173" t="s">
        <v>371</v>
      </c>
      <c r="C61" s="159" t="s">
        <v>372</v>
      </c>
      <c r="D61" s="160" t="s">
        <v>373</v>
      </c>
      <c r="E61" s="160" t="s">
        <v>27</v>
      </c>
      <c r="F61" s="160" t="s">
        <v>374</v>
      </c>
      <c r="G61" s="26" t="s">
        <v>27</v>
      </c>
      <c r="H61" s="26"/>
      <c r="I61" s="55" t="s">
        <v>31</v>
      </c>
      <c r="J61" s="55" t="s">
        <v>133</v>
      </c>
      <c r="K61" s="26">
        <v>1</v>
      </c>
      <c r="L61" s="26">
        <f t="shared" si="12"/>
        <v>5</v>
      </c>
      <c r="M61" s="26">
        <f t="shared" si="13"/>
        <v>50</v>
      </c>
      <c r="N61" s="26">
        <f t="shared" si="14"/>
        <v>100</v>
      </c>
      <c r="O61" s="56">
        <v>10</v>
      </c>
      <c r="P61" s="56">
        <v>60</v>
      </c>
      <c r="Q61" s="56">
        <v>120</v>
      </c>
      <c r="R61" s="89" t="s">
        <v>375</v>
      </c>
      <c r="S61" s="90">
        <v>0.15</v>
      </c>
      <c r="T61" s="90">
        <f t="shared" si="15"/>
        <v>1.5</v>
      </c>
      <c r="U61" s="90">
        <v>0.15</v>
      </c>
      <c r="V61" s="90">
        <f t="shared" si="16"/>
        <v>9</v>
      </c>
      <c r="W61" s="90">
        <v>0.15</v>
      </c>
      <c r="X61" s="90">
        <f t="shared" si="17"/>
        <v>18</v>
      </c>
      <c r="Y61" s="103"/>
    </row>
    <row r="62" spans="1:25">
      <c r="A62" s="7">
        <v>59</v>
      </c>
      <c r="B62" s="174"/>
      <c r="C62" s="161" t="s">
        <v>376</v>
      </c>
      <c r="D62" s="126" t="s">
        <v>377</v>
      </c>
      <c r="E62" s="126" t="s">
        <v>27</v>
      </c>
      <c r="F62" s="126" t="s">
        <v>378</v>
      </c>
      <c r="G62" s="11" t="s">
        <v>179</v>
      </c>
      <c r="H62" s="11" t="s">
        <v>379</v>
      </c>
      <c r="I62" s="30" t="s">
        <v>31</v>
      </c>
      <c r="J62" s="43" t="s">
        <v>133</v>
      </c>
      <c r="K62" s="11">
        <v>1</v>
      </c>
      <c r="L62" s="11">
        <f t="shared" si="12"/>
        <v>5</v>
      </c>
      <c r="M62" s="11">
        <f t="shared" si="13"/>
        <v>50</v>
      </c>
      <c r="N62" s="11">
        <f t="shared" si="14"/>
        <v>100</v>
      </c>
      <c r="O62" s="31">
        <v>7</v>
      </c>
      <c r="P62" s="31">
        <v>53</v>
      </c>
      <c r="Q62" s="31">
        <v>105</v>
      </c>
      <c r="R62" s="60" t="s">
        <v>33</v>
      </c>
      <c r="S62" s="63">
        <v>0.2235</v>
      </c>
      <c r="T62" s="61">
        <f t="shared" si="15"/>
        <v>1.5645</v>
      </c>
      <c r="U62" s="61">
        <v>0.14879999999999999</v>
      </c>
      <c r="V62" s="61">
        <f t="shared" si="16"/>
        <v>7.8863999999999992</v>
      </c>
      <c r="W62" s="61">
        <v>0.1206</v>
      </c>
      <c r="X62" s="61">
        <f t="shared" si="17"/>
        <v>12.663</v>
      </c>
      <c r="Y62" s="92"/>
    </row>
    <row r="63" spans="1:25">
      <c r="A63" s="7">
        <v>60</v>
      </c>
      <c r="B63" s="174"/>
      <c r="C63" s="161" t="s">
        <v>380</v>
      </c>
      <c r="D63" s="126" t="s">
        <v>381</v>
      </c>
      <c r="E63" s="126" t="s">
        <v>27</v>
      </c>
      <c r="F63" s="11" t="s">
        <v>382</v>
      </c>
      <c r="G63" s="11" t="s">
        <v>383</v>
      </c>
      <c r="H63" s="11" t="s">
        <v>384</v>
      </c>
      <c r="I63" s="30" t="s">
        <v>31</v>
      </c>
      <c r="J63" s="43" t="s">
        <v>133</v>
      </c>
      <c r="K63" s="11">
        <v>1</v>
      </c>
      <c r="L63" s="11">
        <f t="shared" si="12"/>
        <v>5</v>
      </c>
      <c r="M63" s="11">
        <f t="shared" si="13"/>
        <v>50</v>
      </c>
      <c r="N63" s="11">
        <f t="shared" si="14"/>
        <v>100</v>
      </c>
      <c r="O63" s="31">
        <v>10</v>
      </c>
      <c r="P63" s="31">
        <v>55</v>
      </c>
      <c r="Q63" s="31">
        <v>105</v>
      </c>
      <c r="R63" s="60" t="s">
        <v>33</v>
      </c>
      <c r="S63" s="61">
        <v>7.8E-2</v>
      </c>
      <c r="T63" s="61">
        <f t="shared" si="15"/>
        <v>0.78</v>
      </c>
      <c r="U63" s="61">
        <v>6.5799999999999997E-2</v>
      </c>
      <c r="V63" s="61">
        <f t="shared" si="16"/>
        <v>3.6189999999999998</v>
      </c>
      <c r="W63" s="61">
        <v>6.5799999999999997E-2</v>
      </c>
      <c r="X63" s="61">
        <f t="shared" si="17"/>
        <v>6.9089999999999998</v>
      </c>
      <c r="Y63" s="92"/>
    </row>
    <row r="64" spans="1:25">
      <c r="A64" s="7">
        <v>61</v>
      </c>
      <c r="B64" s="174"/>
      <c r="C64" s="161" t="s">
        <v>385</v>
      </c>
      <c r="D64" s="126" t="s">
        <v>386</v>
      </c>
      <c r="E64" s="126" t="s">
        <v>27</v>
      </c>
      <c r="F64" s="126" t="s">
        <v>387</v>
      </c>
      <c r="G64" s="11" t="s">
        <v>388</v>
      </c>
      <c r="H64" s="11" t="s">
        <v>389</v>
      </c>
      <c r="I64" s="30" t="s">
        <v>31</v>
      </c>
      <c r="J64" s="43" t="s">
        <v>133</v>
      </c>
      <c r="K64" s="11">
        <v>1</v>
      </c>
      <c r="L64" s="11">
        <f t="shared" si="12"/>
        <v>5</v>
      </c>
      <c r="M64" s="11">
        <f t="shared" si="13"/>
        <v>50</v>
      </c>
      <c r="N64" s="11">
        <f t="shared" si="14"/>
        <v>100</v>
      </c>
      <c r="O64" s="31">
        <v>7</v>
      </c>
      <c r="P64" s="31">
        <v>53</v>
      </c>
      <c r="Q64" s="31">
        <v>105</v>
      </c>
      <c r="R64" s="60" t="s">
        <v>33</v>
      </c>
      <c r="S64" s="63">
        <v>0.90529999999999999</v>
      </c>
      <c r="T64" s="61">
        <f t="shared" si="15"/>
        <v>6.3370999999999995</v>
      </c>
      <c r="U64" s="61">
        <v>0.64380000000000004</v>
      </c>
      <c r="V64" s="61">
        <f t="shared" si="16"/>
        <v>34.121400000000001</v>
      </c>
      <c r="W64" s="61">
        <v>0.43190000000000001</v>
      </c>
      <c r="X64" s="61">
        <f t="shared" si="17"/>
        <v>45.349499999999999</v>
      </c>
      <c r="Y64" s="92"/>
    </row>
    <row r="65" spans="1:25">
      <c r="A65" s="7">
        <v>62</v>
      </c>
      <c r="B65" s="174"/>
      <c r="C65" s="161" t="s">
        <v>390</v>
      </c>
      <c r="D65" s="126" t="s">
        <v>391</v>
      </c>
      <c r="E65" s="126" t="s">
        <v>27</v>
      </c>
      <c r="F65" s="126" t="s">
        <v>392</v>
      </c>
      <c r="G65" s="11" t="s">
        <v>393</v>
      </c>
      <c r="H65" s="11" t="s">
        <v>394</v>
      </c>
      <c r="I65" s="30" t="s">
        <v>31</v>
      </c>
      <c r="J65" s="43" t="s">
        <v>133</v>
      </c>
      <c r="K65" s="11">
        <v>1</v>
      </c>
      <c r="L65" s="11">
        <f t="shared" ref="L65:L72" si="18">K65*5</f>
        <v>5</v>
      </c>
      <c r="M65" s="11">
        <f t="shared" ref="M65:M72" si="19">K65*50</f>
        <v>50</v>
      </c>
      <c r="N65" s="11">
        <f t="shared" ref="N65:N72" si="20">K65*100</f>
        <v>100</v>
      </c>
      <c r="O65" s="31">
        <v>7</v>
      </c>
      <c r="P65" s="31">
        <v>53</v>
      </c>
      <c r="Q65" s="31">
        <v>105</v>
      </c>
      <c r="R65" s="60" t="s">
        <v>33</v>
      </c>
      <c r="S65" s="63">
        <v>0.35620000000000002</v>
      </c>
      <c r="T65" s="61">
        <f t="shared" si="15"/>
        <v>2.4934000000000003</v>
      </c>
      <c r="U65" s="61">
        <v>0.27660000000000001</v>
      </c>
      <c r="V65" s="61">
        <f t="shared" si="16"/>
        <v>14.659800000000001</v>
      </c>
      <c r="W65" s="61">
        <v>0.249</v>
      </c>
      <c r="X65" s="61">
        <f t="shared" si="17"/>
        <v>26.145</v>
      </c>
      <c r="Y65" s="92"/>
    </row>
    <row r="66" spans="1:25">
      <c r="A66" s="7">
        <v>63</v>
      </c>
      <c r="B66" s="174"/>
      <c r="C66" s="161" t="s">
        <v>395</v>
      </c>
      <c r="D66" s="126" t="s">
        <v>396</v>
      </c>
      <c r="E66" s="126" t="s">
        <v>27</v>
      </c>
      <c r="F66" s="126" t="s">
        <v>397</v>
      </c>
      <c r="G66" s="11" t="s">
        <v>398</v>
      </c>
      <c r="H66" s="11" t="s">
        <v>399</v>
      </c>
      <c r="I66" s="30" t="s">
        <v>31</v>
      </c>
      <c r="J66" s="43" t="s">
        <v>133</v>
      </c>
      <c r="K66" s="11">
        <v>1</v>
      </c>
      <c r="L66" s="11">
        <f t="shared" si="18"/>
        <v>5</v>
      </c>
      <c r="M66" s="11">
        <f t="shared" si="19"/>
        <v>50</v>
      </c>
      <c r="N66" s="11">
        <f t="shared" si="20"/>
        <v>100</v>
      </c>
      <c r="O66" s="31">
        <v>10</v>
      </c>
      <c r="P66" s="31">
        <v>55</v>
      </c>
      <c r="Q66" s="31">
        <v>105</v>
      </c>
      <c r="R66" s="60" t="s">
        <v>33</v>
      </c>
      <c r="S66" s="61">
        <v>0.1358</v>
      </c>
      <c r="T66" s="61">
        <f t="shared" si="15"/>
        <v>1.3580000000000001</v>
      </c>
      <c r="U66" s="61">
        <v>0.1106</v>
      </c>
      <c r="V66" s="61">
        <f t="shared" si="16"/>
        <v>6.0830000000000002</v>
      </c>
      <c r="W66" s="61">
        <v>0.1106</v>
      </c>
      <c r="X66" s="61">
        <f t="shared" si="17"/>
        <v>11.613</v>
      </c>
      <c r="Y66" s="92"/>
    </row>
    <row r="67" spans="1:25">
      <c r="A67" s="7">
        <v>64</v>
      </c>
      <c r="B67" s="174"/>
      <c r="C67" s="161" t="s">
        <v>395</v>
      </c>
      <c r="D67" s="126" t="s">
        <v>400</v>
      </c>
      <c r="E67" s="126" t="s">
        <v>27</v>
      </c>
      <c r="F67" s="126" t="s">
        <v>401</v>
      </c>
      <c r="G67" s="11" t="s">
        <v>398</v>
      </c>
      <c r="H67" s="11" t="s">
        <v>402</v>
      </c>
      <c r="I67" s="30" t="s">
        <v>31</v>
      </c>
      <c r="J67" s="43" t="s">
        <v>133</v>
      </c>
      <c r="K67" s="11">
        <v>2</v>
      </c>
      <c r="L67" s="11">
        <f t="shared" si="18"/>
        <v>10</v>
      </c>
      <c r="M67" s="11">
        <f t="shared" si="19"/>
        <v>100</v>
      </c>
      <c r="N67" s="11">
        <f t="shared" si="20"/>
        <v>200</v>
      </c>
      <c r="O67" s="31">
        <v>10</v>
      </c>
      <c r="P67" s="31">
        <v>105</v>
      </c>
      <c r="Q67" s="31">
        <v>205</v>
      </c>
      <c r="R67" s="60" t="s">
        <v>33</v>
      </c>
      <c r="S67" s="61">
        <v>9.06E-2</v>
      </c>
      <c r="T67" s="61">
        <f t="shared" si="15"/>
        <v>0.90600000000000003</v>
      </c>
      <c r="U67" s="61">
        <v>7.3800000000000004E-2</v>
      </c>
      <c r="V67" s="61">
        <f t="shared" si="16"/>
        <v>7.7490000000000006</v>
      </c>
      <c r="W67" s="61">
        <v>7.3800000000000004E-2</v>
      </c>
      <c r="X67" s="61">
        <f t="shared" si="17"/>
        <v>15.129000000000001</v>
      </c>
      <c r="Y67" s="92"/>
    </row>
    <row r="68" spans="1:25">
      <c r="A68" s="7">
        <v>65</v>
      </c>
      <c r="B68" s="174"/>
      <c r="C68" s="161" t="s">
        <v>403</v>
      </c>
      <c r="D68" s="126" t="s">
        <v>404</v>
      </c>
      <c r="E68" s="126" t="s">
        <v>27</v>
      </c>
      <c r="F68" s="126" t="s">
        <v>405</v>
      </c>
      <c r="G68" s="11" t="s">
        <v>406</v>
      </c>
      <c r="H68" s="11" t="s">
        <v>407</v>
      </c>
      <c r="I68" s="53" t="s">
        <v>408</v>
      </c>
      <c r="J68" s="43" t="s">
        <v>133</v>
      </c>
      <c r="K68" s="11">
        <v>1</v>
      </c>
      <c r="L68" s="11">
        <f t="shared" si="18"/>
        <v>5</v>
      </c>
      <c r="M68" s="11">
        <f t="shared" si="19"/>
        <v>50</v>
      </c>
      <c r="N68" s="11">
        <f t="shared" si="20"/>
        <v>100</v>
      </c>
      <c r="O68" s="31">
        <v>50</v>
      </c>
      <c r="P68" s="31">
        <v>100</v>
      </c>
      <c r="Q68" s="31">
        <v>150</v>
      </c>
      <c r="R68" s="60" t="s">
        <v>33</v>
      </c>
      <c r="S68" s="61">
        <v>1.11E-2</v>
      </c>
      <c r="T68" s="61">
        <f t="shared" ref="T68" si="21">S68*O68</f>
        <v>0.55500000000000005</v>
      </c>
      <c r="U68" s="61">
        <v>1.11E-2</v>
      </c>
      <c r="V68" s="61">
        <f t="shared" ref="V68" si="22">U68*P68</f>
        <v>1.1100000000000001</v>
      </c>
      <c r="W68" s="61">
        <v>1.11E-2</v>
      </c>
      <c r="X68" s="61">
        <f t="shared" ref="X68" si="23">W68*Q68</f>
        <v>1.665</v>
      </c>
      <c r="Y68" s="92"/>
    </row>
    <row r="69" spans="1:25">
      <c r="A69" s="7">
        <v>66</v>
      </c>
      <c r="B69" s="174"/>
      <c r="C69" s="162" t="s">
        <v>409</v>
      </c>
      <c r="D69" s="133" t="s">
        <v>410</v>
      </c>
      <c r="E69" s="133" t="s">
        <v>27</v>
      </c>
      <c r="F69" s="133" t="s">
        <v>411</v>
      </c>
      <c r="G69" s="14" t="s">
        <v>412</v>
      </c>
      <c r="H69" s="104" t="s">
        <v>413</v>
      </c>
      <c r="I69" s="108" t="s">
        <v>413</v>
      </c>
      <c r="J69" s="104" t="s">
        <v>133</v>
      </c>
      <c r="K69" s="12">
        <v>1</v>
      </c>
      <c r="L69" s="12">
        <f t="shared" si="18"/>
        <v>5</v>
      </c>
      <c r="M69" s="12">
        <f t="shared" si="19"/>
        <v>50</v>
      </c>
      <c r="N69" s="12">
        <f t="shared" si="20"/>
        <v>100</v>
      </c>
      <c r="O69" s="109"/>
      <c r="P69" s="109"/>
      <c r="Q69" s="109"/>
      <c r="R69" s="108" t="s">
        <v>413</v>
      </c>
      <c r="S69" s="108"/>
      <c r="T69" s="108" t="s">
        <v>413</v>
      </c>
      <c r="U69" s="108"/>
      <c r="V69" s="108" t="s">
        <v>413</v>
      </c>
      <c r="W69" s="108"/>
      <c r="X69" s="108" t="s">
        <v>413</v>
      </c>
      <c r="Y69" s="118" t="s">
        <v>414</v>
      </c>
    </row>
    <row r="70" spans="1:25">
      <c r="A70" s="7">
        <v>67</v>
      </c>
      <c r="B70" s="174"/>
      <c r="C70" s="162" t="s">
        <v>415</v>
      </c>
      <c r="D70" s="133" t="s">
        <v>416</v>
      </c>
      <c r="E70" s="133" t="s">
        <v>27</v>
      </c>
      <c r="F70" s="133" t="s">
        <v>417</v>
      </c>
      <c r="G70" s="104" t="s">
        <v>413</v>
      </c>
      <c r="H70" s="104" t="s">
        <v>413</v>
      </c>
      <c r="I70" s="108" t="s">
        <v>413</v>
      </c>
      <c r="J70" s="104" t="s">
        <v>133</v>
      </c>
      <c r="K70" s="12">
        <v>1</v>
      </c>
      <c r="L70" s="12">
        <f t="shared" si="18"/>
        <v>5</v>
      </c>
      <c r="M70" s="12">
        <f t="shared" si="19"/>
        <v>50</v>
      </c>
      <c r="N70" s="12">
        <f t="shared" si="20"/>
        <v>100</v>
      </c>
      <c r="O70" s="109"/>
      <c r="P70" s="109"/>
      <c r="Q70" s="109"/>
      <c r="R70" s="108" t="s">
        <v>413</v>
      </c>
      <c r="S70" s="108"/>
      <c r="T70" s="108" t="s">
        <v>413</v>
      </c>
      <c r="U70" s="108"/>
      <c r="V70" s="108" t="s">
        <v>413</v>
      </c>
      <c r="W70" s="108"/>
      <c r="X70" s="108" t="s">
        <v>413</v>
      </c>
      <c r="Y70" s="118" t="s">
        <v>414</v>
      </c>
    </row>
    <row r="71" spans="1:25">
      <c r="A71" s="7">
        <v>68</v>
      </c>
      <c r="B71" s="174"/>
      <c r="C71" s="162" t="s">
        <v>418</v>
      </c>
      <c r="D71" s="133" t="s">
        <v>419</v>
      </c>
      <c r="E71" s="133" t="s">
        <v>27</v>
      </c>
      <c r="F71" s="133" t="s">
        <v>420</v>
      </c>
      <c r="G71" s="104" t="s">
        <v>413</v>
      </c>
      <c r="H71" s="104" t="s">
        <v>413</v>
      </c>
      <c r="I71" s="108" t="s">
        <v>413</v>
      </c>
      <c r="J71" s="104" t="s">
        <v>133</v>
      </c>
      <c r="K71" s="12">
        <v>11</v>
      </c>
      <c r="L71" s="12">
        <f t="shared" si="18"/>
        <v>55</v>
      </c>
      <c r="M71" s="12">
        <f t="shared" si="19"/>
        <v>550</v>
      </c>
      <c r="N71" s="12">
        <f t="shared" si="20"/>
        <v>1100</v>
      </c>
      <c r="O71" s="109"/>
      <c r="P71" s="109"/>
      <c r="Q71" s="109"/>
      <c r="R71" s="108" t="s">
        <v>413</v>
      </c>
      <c r="S71" s="108"/>
      <c r="T71" s="108" t="s">
        <v>413</v>
      </c>
      <c r="U71" s="108"/>
      <c r="V71" s="108" t="s">
        <v>413</v>
      </c>
      <c r="W71" s="108"/>
      <c r="X71" s="108" t="s">
        <v>413</v>
      </c>
      <c r="Y71" s="118" t="s">
        <v>414</v>
      </c>
    </row>
    <row r="72" spans="1:25">
      <c r="A72" s="105">
        <v>69</v>
      </c>
      <c r="B72" s="175"/>
      <c r="C72" s="163" t="s">
        <v>421</v>
      </c>
      <c r="D72" s="164" t="s">
        <v>422</v>
      </c>
      <c r="E72" s="164" t="s">
        <v>27</v>
      </c>
      <c r="F72" s="164" t="s">
        <v>423</v>
      </c>
      <c r="G72" s="106" t="s">
        <v>413</v>
      </c>
      <c r="H72" s="106" t="s">
        <v>413</v>
      </c>
      <c r="I72" s="110" t="s">
        <v>413</v>
      </c>
      <c r="J72" s="106" t="s">
        <v>133</v>
      </c>
      <c r="K72" s="111">
        <v>6</v>
      </c>
      <c r="L72" s="111">
        <f t="shared" si="18"/>
        <v>30</v>
      </c>
      <c r="M72" s="111">
        <f t="shared" si="19"/>
        <v>300</v>
      </c>
      <c r="N72" s="111">
        <f t="shared" si="20"/>
        <v>600</v>
      </c>
      <c r="O72" s="112"/>
      <c r="P72" s="112"/>
      <c r="Q72" s="112"/>
      <c r="R72" s="110" t="s">
        <v>413</v>
      </c>
      <c r="S72" s="110"/>
      <c r="T72" s="110" t="s">
        <v>413</v>
      </c>
      <c r="U72" s="110"/>
      <c r="V72" s="110" t="s">
        <v>413</v>
      </c>
      <c r="W72" s="110"/>
      <c r="X72" s="110" t="s">
        <v>413</v>
      </c>
      <c r="Y72" s="119" t="s">
        <v>414</v>
      </c>
    </row>
    <row r="73" spans="1:25">
      <c r="A73" s="7">
        <v>70</v>
      </c>
      <c r="B73" s="24" t="s">
        <v>424</v>
      </c>
      <c r="C73" s="165" t="s">
        <v>425</v>
      </c>
      <c r="D73" s="166" t="s">
        <v>426</v>
      </c>
      <c r="E73" s="107" t="s">
        <v>27</v>
      </c>
      <c r="F73" s="107" t="s">
        <v>427</v>
      </c>
      <c r="G73" s="107" t="s">
        <v>428</v>
      </c>
      <c r="H73" s="166" t="s">
        <v>426</v>
      </c>
      <c r="I73" s="166" t="s">
        <v>426</v>
      </c>
      <c r="J73" s="166" t="s">
        <v>429</v>
      </c>
      <c r="K73" s="113">
        <v>1</v>
      </c>
      <c r="L73" s="113">
        <f t="shared" ref="L73" si="24">K73*5</f>
        <v>5</v>
      </c>
      <c r="M73" s="113">
        <f t="shared" ref="M73" si="25">K73*50</f>
        <v>50</v>
      </c>
      <c r="N73" s="113">
        <f t="shared" ref="N73" si="26">K73*100</f>
        <v>100</v>
      </c>
      <c r="O73" s="167" t="s">
        <v>430</v>
      </c>
      <c r="P73" s="166" t="s">
        <v>430</v>
      </c>
      <c r="Q73" s="167" t="s">
        <v>430</v>
      </c>
      <c r="R73" s="114" t="s">
        <v>431</v>
      </c>
      <c r="S73" s="115">
        <v>14</v>
      </c>
      <c r="T73" s="115">
        <f>S73*L73</f>
        <v>70</v>
      </c>
      <c r="U73" s="115">
        <v>14</v>
      </c>
      <c r="V73" s="115">
        <f>U73*M73</f>
        <v>700</v>
      </c>
      <c r="W73" s="115">
        <v>14</v>
      </c>
      <c r="X73" s="115">
        <f>W73*N73</f>
        <v>1400</v>
      </c>
      <c r="Y73" s="120" t="s">
        <v>432</v>
      </c>
    </row>
    <row r="74" spans="1:25" ht="18.75">
      <c r="K74" s="171" t="s">
        <v>433</v>
      </c>
      <c r="L74" s="171"/>
      <c r="M74" s="171"/>
      <c r="N74" s="171"/>
      <c r="T74" s="116">
        <f>SUM(T3:T73)</f>
        <v>376.27534000000003</v>
      </c>
      <c r="V74" s="116">
        <f>SUM(V3:V73)</f>
        <v>2073.4159</v>
      </c>
      <c r="X74" s="116">
        <f>SUM(X3:X73)</f>
        <v>3864.8465999999994</v>
      </c>
    </row>
    <row r="75" spans="1:25" ht="18.75" customHeight="1">
      <c r="K75" s="171" t="s">
        <v>434</v>
      </c>
      <c r="L75" s="171"/>
      <c r="M75" s="171"/>
      <c r="N75" s="171"/>
      <c r="T75" s="116">
        <f>T74/5</f>
        <v>75.255068000000009</v>
      </c>
      <c r="V75" s="116">
        <f>V74/50</f>
        <v>41.468317999999996</v>
      </c>
      <c r="X75" s="116">
        <f>X74/100</f>
        <v>38.648465999999992</v>
      </c>
    </row>
    <row r="76" spans="1:25" ht="18.75">
      <c r="K76" s="172" t="s">
        <v>435</v>
      </c>
      <c r="L76" s="172"/>
      <c r="M76" s="172"/>
      <c r="N76" s="172"/>
      <c r="S76" s="117" t="s">
        <v>436</v>
      </c>
      <c r="T76" s="61">
        <v>88</v>
      </c>
      <c r="V76" s="61">
        <v>88</v>
      </c>
      <c r="X76" s="61">
        <v>88</v>
      </c>
    </row>
    <row r="77" spans="1:25">
      <c r="S77" s="117" t="s">
        <v>437</v>
      </c>
      <c r="T77" s="116">
        <f>SUM(T75:T76)</f>
        <v>163.25506799999999</v>
      </c>
      <c r="V77" s="116">
        <f>SUM(V75:V76)</f>
        <v>129.46831800000001</v>
      </c>
      <c r="X77" s="116">
        <f>SUM(X75:X76)</f>
        <v>126.64846599999998</v>
      </c>
    </row>
  </sheetData>
  <mergeCells count="11">
    <mergeCell ref="A1:Y1"/>
    <mergeCell ref="K74:N74"/>
    <mergeCell ref="K75:N75"/>
    <mergeCell ref="K76:N76"/>
    <mergeCell ref="B3:B17"/>
    <mergeCell ref="B18:B19"/>
    <mergeCell ref="B21:B25"/>
    <mergeCell ref="B26:B27"/>
    <mergeCell ref="B30:B50"/>
    <mergeCell ref="B51:B60"/>
    <mergeCell ref="B61:B72"/>
  </mergeCells>
  <conditionalFormatting sqref="S75:X75">
    <cfRule type="dataBar" priority="7">
      <dataBar>
        <cfvo type="min"/>
        <cfvo type="max"/>
        <color rgb="FFD6007B"/>
      </dataBar>
      <extLst>
        <ext xmlns:x14="http://schemas.microsoft.com/office/spreadsheetml/2009/9/main" uri="{B025F937-C7B1-47D3-B67F-A62EFF666E3E}">
          <x14:id>{C2F80450-D53F-4954-AE9F-6D62A9C47AAC}</x14:id>
        </ext>
      </extLst>
    </cfRule>
  </conditionalFormatting>
  <conditionalFormatting sqref="K3:N73">
    <cfRule type="colorScale" priority="14">
      <colorScale>
        <cfvo type="min"/>
        <cfvo type="percentile" val="50"/>
        <cfvo type="max"/>
        <color rgb="FFF8696B"/>
        <color rgb="FFFFEB84"/>
        <color rgb="FF63BE7B"/>
      </colorScale>
    </cfRule>
  </conditionalFormatting>
  <conditionalFormatting sqref="T3:T68 T73">
    <cfRule type="dataBar" priority="8">
      <dataBar>
        <cfvo type="min"/>
        <cfvo type="max"/>
        <color rgb="FF63C384"/>
      </dataBar>
      <extLst>
        <ext xmlns:x14="http://schemas.microsoft.com/office/spreadsheetml/2009/9/main" uri="{B025F937-C7B1-47D3-B67F-A62EFF666E3E}">
          <x14:id>{67F24E00-1DBB-4F0E-80EA-CE98C5780032}</x14:id>
        </ext>
      </extLst>
    </cfRule>
  </conditionalFormatting>
  <conditionalFormatting sqref="V3:V68 V73">
    <cfRule type="dataBar" priority="10">
      <dataBar>
        <cfvo type="min"/>
        <cfvo type="max"/>
        <color rgb="FFFF555A"/>
      </dataBar>
      <extLst>
        <ext xmlns:x14="http://schemas.microsoft.com/office/spreadsheetml/2009/9/main" uri="{B025F937-C7B1-47D3-B67F-A62EFF666E3E}">
          <x14:id>{3459738E-77CF-4EE4-8B77-4701C9204AB5}</x14:id>
        </ext>
      </extLst>
    </cfRule>
  </conditionalFormatting>
  <conditionalFormatting sqref="X3:X68 X73">
    <cfRule type="dataBar" priority="12">
      <dataBar>
        <cfvo type="min"/>
        <cfvo type="max"/>
        <color rgb="FFFFB628"/>
      </dataBar>
      <extLst>
        <ext xmlns:x14="http://schemas.microsoft.com/office/spreadsheetml/2009/9/main" uri="{B025F937-C7B1-47D3-B67F-A62EFF666E3E}">
          <x14:id>{3919D4D4-1DEC-4364-85AE-9C93E653FEB7}</x14:id>
        </ext>
      </extLst>
    </cfRule>
  </conditionalFormatting>
  <hyperlinks>
    <hyperlink ref="R3" r:id="rId1"/>
    <hyperlink ref="R4" r:id="rId2"/>
    <hyperlink ref="R6" r:id="rId3"/>
    <hyperlink ref="R7" r:id="rId4"/>
    <hyperlink ref="R8" r:id="rId5"/>
    <hyperlink ref="R11" r:id="rId6"/>
    <hyperlink ref="R13" r:id="rId7"/>
    <hyperlink ref="R14" r:id="rId8"/>
    <hyperlink ref="R15" r:id="rId9"/>
    <hyperlink ref="R16" r:id="rId10"/>
    <hyperlink ref="R17" r:id="rId11"/>
    <hyperlink ref="R20" r:id="rId12"/>
    <hyperlink ref="R22" r:id="rId13"/>
    <hyperlink ref="R23" r:id="rId14"/>
    <hyperlink ref="R24" r:id="rId15"/>
    <hyperlink ref="R26" r:id="rId16"/>
    <hyperlink ref="R27" r:id="rId17"/>
    <hyperlink ref="R28" r:id="rId18"/>
    <hyperlink ref="R30" r:id="rId19"/>
    <hyperlink ref="R32" r:id="rId20"/>
    <hyperlink ref="R33" r:id="rId21"/>
    <hyperlink ref="R34" r:id="rId22"/>
    <hyperlink ref="R35" r:id="rId23"/>
    <hyperlink ref="R37" r:id="rId24"/>
    <hyperlink ref="R39" r:id="rId25"/>
    <hyperlink ref="R40" r:id="rId26"/>
    <hyperlink ref="R41" r:id="rId27"/>
    <hyperlink ref="R42" r:id="rId28"/>
    <hyperlink ref="R45" r:id="rId29"/>
    <hyperlink ref="R46" r:id="rId30"/>
    <hyperlink ref="R47" r:id="rId31"/>
    <hyperlink ref="R48" r:id="rId32"/>
    <hyperlink ref="R49" r:id="rId33"/>
    <hyperlink ref="R50" r:id="rId34"/>
    <hyperlink ref="R51" r:id="rId35"/>
    <hyperlink ref="R54" r:id="rId36"/>
    <hyperlink ref="R56" r:id="rId37"/>
    <hyperlink ref="R58" r:id="rId38"/>
    <hyperlink ref="R59" r:id="rId39"/>
    <hyperlink ref="R60" r:id="rId40"/>
    <hyperlink ref="R62" r:id="rId41"/>
    <hyperlink ref="R63" r:id="rId42"/>
    <hyperlink ref="R64" r:id="rId43"/>
    <hyperlink ref="R65" r:id="rId44"/>
    <hyperlink ref="R66" r:id="rId45"/>
    <hyperlink ref="R67" r:id="rId46"/>
    <hyperlink ref="R9" r:id="rId47"/>
    <hyperlink ref="R21" r:id="rId48"/>
    <hyperlink ref="R25" r:id="rId49"/>
    <hyperlink ref="R12" r:id="rId50"/>
    <hyperlink ref="R31" r:id="rId51"/>
    <hyperlink ref="R36" r:id="rId52"/>
    <hyperlink ref="R38" r:id="rId53"/>
    <hyperlink ref="R43" r:id="rId54"/>
    <hyperlink ref="R44" r:id="rId55"/>
    <hyperlink ref="R52" r:id="rId56"/>
    <hyperlink ref="R53" r:id="rId57"/>
    <hyperlink ref="R57" r:id="rId58"/>
    <hyperlink ref="R61" r:id="rId59"/>
    <hyperlink ref="R68" r:id="rId60"/>
    <hyperlink ref="R19" r:id="rId61"/>
    <hyperlink ref="R29" r:id="rId62"/>
    <hyperlink ref="R10" r:id="rId63"/>
    <hyperlink ref="R5" r:id="rId64"/>
    <hyperlink ref="R18" r:id="rId65"/>
    <hyperlink ref="R73" r:id="rId66"/>
  </hyperlinks>
  <printOptions horizontalCentered="1" verticalCentered="1"/>
  <pageMargins left="0.30555555555555602" right="0.30555555555555602" top="0.30555555555555602" bottom="0.30555555555555602" header="0" footer="0"/>
  <pageSetup orientation="landscape" blackAndWhite="1" r:id="rId67"/>
  <extLst>
    <ext xmlns:x14="http://schemas.microsoft.com/office/spreadsheetml/2009/9/main" uri="{78C0D931-6437-407d-A8EE-F0AAD7539E65}">
      <x14:conditionalFormattings>
        <x14:conditionalFormatting xmlns:xm="http://schemas.microsoft.com/office/excel/2006/main">
          <x14:cfRule type="dataBar" id="{C2F80450-D53F-4954-AE9F-6D62A9C47AAC}">
            <x14:dataBar minLength="0" maxLength="100" border="1" negativeBarBorderColorSameAsPositive="0">
              <x14:cfvo type="autoMin"/>
              <x14:cfvo type="autoMax"/>
              <x14:borderColor rgb="FFD6007B"/>
              <x14:negativeFillColor rgb="FFFF0000"/>
              <x14:negativeBorderColor rgb="FFFF0000"/>
              <x14:axisColor rgb="FF000000"/>
            </x14:dataBar>
          </x14:cfRule>
          <xm:sqref>S75:X75</xm:sqref>
        </x14:conditionalFormatting>
        <x14:conditionalFormatting xmlns:xm="http://schemas.microsoft.com/office/excel/2006/main">
          <x14:cfRule type="dataBar" id="{67F24E00-1DBB-4F0E-80EA-CE98C5780032}">
            <x14:dataBar minLength="0" maxLength="100" border="1" negativeBarBorderColorSameAsPositive="0">
              <x14:cfvo type="autoMin"/>
              <x14:cfvo type="autoMax"/>
              <x14:borderColor rgb="FF63C384"/>
              <x14:negativeFillColor rgb="FFFF0000"/>
              <x14:negativeBorderColor rgb="FFFF0000"/>
              <x14:axisColor rgb="FF000000"/>
            </x14:dataBar>
          </x14:cfRule>
          <xm:sqref>T3:T68 T73</xm:sqref>
        </x14:conditionalFormatting>
        <x14:conditionalFormatting xmlns:xm="http://schemas.microsoft.com/office/excel/2006/main">
          <x14:cfRule type="dataBar" id="{3459738E-77CF-4EE4-8B77-4701C9204AB5}">
            <x14:dataBar minLength="0" maxLength="100" border="1" negativeBarBorderColorSameAsPositive="0">
              <x14:cfvo type="autoMin"/>
              <x14:cfvo type="autoMax"/>
              <x14:borderColor rgb="FFFF555A"/>
              <x14:negativeFillColor rgb="FFFF0000"/>
              <x14:negativeBorderColor rgb="FFFF0000"/>
              <x14:axisColor rgb="FF000000"/>
            </x14:dataBar>
          </x14:cfRule>
          <xm:sqref>V3:V68 V73</xm:sqref>
        </x14:conditionalFormatting>
        <x14:conditionalFormatting xmlns:xm="http://schemas.microsoft.com/office/excel/2006/main">
          <x14:cfRule type="dataBar" id="{3919D4D4-1DEC-4364-85AE-9C93E653FEB7}">
            <x14:dataBar minLength="0" maxLength="100" border="1" negativeBarBorderColorSameAsPositive="0">
              <x14:cfvo type="autoMin"/>
              <x14:cfvo type="autoMax"/>
              <x14:borderColor rgb="FFFFB628"/>
              <x14:negativeFillColor rgb="FFFF0000"/>
              <x14:negativeBorderColor rgb="FFFF0000"/>
              <x14:axisColor rgb="FF000000"/>
            </x14:dataBar>
          </x14:cfRule>
          <xm:sqref>X3:X68 X73</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LCSC_BOM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texon</dc:creator>
  <cp:lastModifiedBy>DANISH TRADERS</cp:lastModifiedBy>
  <dcterms:created xsi:type="dcterms:W3CDTF">2022-03-03T11:26:00Z</dcterms:created>
  <dcterms:modified xsi:type="dcterms:W3CDTF">2022-05-26T06:44:11Z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BB334BAE93B649F58C7B32949FC6DC5A</vt:lpwstr>
  </property>
  <property fmtid="{D5CDD505-2E9C-101B-9397-08002B2CF9AE}" pid="3" name="KSOProductBuildVer">
    <vt:lpwstr>1033-11.2.0.11029</vt:lpwstr>
  </property>
</Properties>
</file>