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GrantKros-CoopMonitor\Deliverable\Interface_Board\OLD-BOM\"/>
    </mc:Choice>
  </mc:AlternateContent>
  <bookViews>
    <workbookView xWindow="0" yWindow="0" windowWidth="23325" windowHeight="9795" activeTab="1"/>
  </bookViews>
  <sheets>
    <sheet name="Grant_Project" sheetId="1" r:id="rId1"/>
    <sheet name="Grant_(5)Boards" sheetId="2" r:id="rId2"/>
  </sheets>
  <calcPr calcId="162913"/>
</workbook>
</file>

<file path=xl/calcChain.xml><?xml version="1.0" encoding="utf-8"?>
<calcChain xmlns="http://schemas.openxmlformats.org/spreadsheetml/2006/main">
  <c r="P74" i="2" l="1"/>
  <c r="M74" i="2"/>
  <c r="L74" i="2"/>
  <c r="K74" i="2"/>
  <c r="P73" i="2"/>
  <c r="M73" i="2"/>
  <c r="L73" i="2"/>
  <c r="K73" i="2"/>
  <c r="P72" i="2"/>
  <c r="M72" i="2"/>
  <c r="L72" i="2"/>
  <c r="K72" i="2"/>
  <c r="P71" i="2"/>
  <c r="M71" i="2"/>
  <c r="L71" i="2"/>
  <c r="K71" i="2"/>
  <c r="P70" i="2"/>
  <c r="M70" i="2"/>
  <c r="L70" i="2"/>
  <c r="K70" i="2"/>
  <c r="M69" i="2"/>
  <c r="L69" i="2"/>
  <c r="K69" i="2"/>
  <c r="M68" i="2"/>
  <c r="L68" i="2"/>
  <c r="K68" i="2"/>
  <c r="M67" i="2"/>
  <c r="L67" i="2"/>
  <c r="K67" i="2"/>
  <c r="M66" i="2"/>
  <c r="L66" i="2"/>
  <c r="K66" i="2"/>
  <c r="P65" i="2"/>
  <c r="M65" i="2"/>
  <c r="L65" i="2"/>
  <c r="K65" i="2"/>
  <c r="P64" i="2"/>
  <c r="M64" i="2"/>
  <c r="L64" i="2"/>
  <c r="K64" i="2"/>
  <c r="P63" i="2"/>
  <c r="M63" i="2"/>
  <c r="L63" i="2"/>
  <c r="K63" i="2"/>
  <c r="P62" i="2"/>
  <c r="M62" i="2"/>
  <c r="L62" i="2"/>
  <c r="K62" i="2"/>
  <c r="P61" i="2"/>
  <c r="M61" i="2"/>
  <c r="L61" i="2"/>
  <c r="K61" i="2"/>
  <c r="P60" i="2"/>
  <c r="M60" i="2"/>
  <c r="L60" i="2"/>
  <c r="K60" i="2"/>
  <c r="P59" i="2"/>
  <c r="M59" i="2"/>
  <c r="L59" i="2"/>
  <c r="K59" i="2"/>
  <c r="P58" i="2"/>
  <c r="M58" i="2"/>
  <c r="L58" i="2"/>
  <c r="K58" i="2"/>
  <c r="P57" i="2"/>
  <c r="M57" i="2"/>
  <c r="L57" i="2"/>
  <c r="K57" i="2"/>
  <c r="P56" i="2"/>
  <c r="M56" i="2"/>
  <c r="L56" i="2"/>
  <c r="K56" i="2"/>
  <c r="P55" i="2"/>
  <c r="M55" i="2"/>
  <c r="L55" i="2"/>
  <c r="K55" i="2"/>
  <c r="P54" i="2"/>
  <c r="M54" i="2"/>
  <c r="L54" i="2"/>
  <c r="K54" i="2"/>
  <c r="P53" i="2"/>
  <c r="M53" i="2"/>
  <c r="L53" i="2"/>
  <c r="K53" i="2"/>
  <c r="P52" i="2"/>
  <c r="M52" i="2"/>
  <c r="L52" i="2"/>
  <c r="K52" i="2"/>
  <c r="P51" i="2"/>
  <c r="M51" i="2"/>
  <c r="L51" i="2"/>
  <c r="K51" i="2"/>
  <c r="P50" i="2"/>
  <c r="M50" i="2"/>
  <c r="L50" i="2"/>
  <c r="K50" i="2"/>
  <c r="P49" i="2"/>
  <c r="M49" i="2"/>
  <c r="L49" i="2"/>
  <c r="K49" i="2"/>
  <c r="P48" i="2"/>
  <c r="M48" i="2"/>
  <c r="L48" i="2"/>
  <c r="K48" i="2"/>
  <c r="P47" i="2"/>
  <c r="M47" i="2"/>
  <c r="L47" i="2"/>
  <c r="K47" i="2"/>
  <c r="P46" i="2"/>
  <c r="M46" i="2"/>
  <c r="L46" i="2"/>
  <c r="K46" i="2"/>
  <c r="P45" i="2"/>
  <c r="M45" i="2"/>
  <c r="L45" i="2"/>
  <c r="K45" i="2"/>
  <c r="P44" i="2"/>
  <c r="M44" i="2"/>
  <c r="L44" i="2"/>
  <c r="K44" i="2"/>
  <c r="P43" i="2"/>
  <c r="M43" i="2"/>
  <c r="L43" i="2"/>
  <c r="K43" i="2"/>
  <c r="P42" i="2"/>
  <c r="M42" i="2"/>
  <c r="L42" i="2"/>
  <c r="K42" i="2"/>
  <c r="P41" i="2"/>
  <c r="M41" i="2"/>
  <c r="L41" i="2"/>
  <c r="K41" i="2"/>
  <c r="P40" i="2"/>
  <c r="M40" i="2"/>
  <c r="L40" i="2"/>
  <c r="K40" i="2"/>
  <c r="P39" i="2"/>
  <c r="M39" i="2"/>
  <c r="L39" i="2"/>
  <c r="K39" i="2"/>
  <c r="P38" i="2"/>
  <c r="M38" i="2"/>
  <c r="L38" i="2"/>
  <c r="K38" i="2"/>
  <c r="P37" i="2"/>
  <c r="M37" i="2"/>
  <c r="L37" i="2"/>
  <c r="K37" i="2"/>
  <c r="P36" i="2"/>
  <c r="M36" i="2"/>
  <c r="L36" i="2"/>
  <c r="K36" i="2"/>
  <c r="P35" i="2"/>
  <c r="M35" i="2"/>
  <c r="L35" i="2"/>
  <c r="K35" i="2"/>
  <c r="P34" i="2"/>
  <c r="M34" i="2"/>
  <c r="L34" i="2"/>
  <c r="K34" i="2"/>
  <c r="P33" i="2"/>
  <c r="M33" i="2"/>
  <c r="L33" i="2"/>
  <c r="K33" i="2"/>
  <c r="P32" i="2"/>
  <c r="M32" i="2"/>
  <c r="L32" i="2"/>
  <c r="K32" i="2"/>
  <c r="P31" i="2"/>
  <c r="M31" i="2"/>
  <c r="L31" i="2"/>
  <c r="K31" i="2"/>
  <c r="P30" i="2"/>
  <c r="M30" i="2"/>
  <c r="L30" i="2"/>
  <c r="K30" i="2"/>
  <c r="P29" i="2"/>
  <c r="M29" i="2"/>
  <c r="L29" i="2"/>
  <c r="K29" i="2"/>
  <c r="P28" i="2"/>
  <c r="M28" i="2"/>
  <c r="L28" i="2"/>
  <c r="K28" i="2"/>
  <c r="P27" i="2"/>
  <c r="M27" i="2"/>
  <c r="L27" i="2"/>
  <c r="K27" i="2"/>
  <c r="P26" i="2"/>
  <c r="M26" i="2"/>
  <c r="L26" i="2"/>
  <c r="K26" i="2"/>
  <c r="P25" i="2"/>
  <c r="M25" i="2"/>
  <c r="L25" i="2"/>
  <c r="K25" i="2"/>
  <c r="P24" i="2"/>
  <c r="M24" i="2"/>
  <c r="L24" i="2"/>
  <c r="K24" i="2"/>
  <c r="P23" i="2"/>
  <c r="M23" i="2"/>
  <c r="L23" i="2"/>
  <c r="K23" i="2"/>
  <c r="P22" i="2"/>
  <c r="M22" i="2"/>
  <c r="L22" i="2"/>
  <c r="K22" i="2"/>
  <c r="P21" i="2"/>
  <c r="M21" i="2"/>
  <c r="L21" i="2"/>
  <c r="K21" i="2"/>
  <c r="P20" i="2"/>
  <c r="M20" i="2"/>
  <c r="L20" i="2"/>
  <c r="K20" i="2"/>
  <c r="P19" i="2"/>
  <c r="M19" i="2"/>
  <c r="L19" i="2"/>
  <c r="K19" i="2"/>
  <c r="P18" i="2"/>
  <c r="M18" i="2"/>
  <c r="L18" i="2"/>
  <c r="K18" i="2"/>
  <c r="P17" i="2"/>
  <c r="M17" i="2"/>
  <c r="L17" i="2"/>
  <c r="K17" i="2"/>
  <c r="P16" i="2"/>
  <c r="M16" i="2"/>
  <c r="L16" i="2"/>
  <c r="K16" i="2"/>
  <c r="P15" i="2"/>
  <c r="M15" i="2"/>
  <c r="L15" i="2"/>
  <c r="K15" i="2"/>
  <c r="P14" i="2"/>
  <c r="M14" i="2"/>
  <c r="L14" i="2"/>
  <c r="K14" i="2"/>
  <c r="P13" i="2"/>
  <c r="M13" i="2"/>
  <c r="L13" i="2"/>
  <c r="K13" i="2"/>
  <c r="P12" i="2"/>
  <c r="M12" i="2"/>
  <c r="L12" i="2"/>
  <c r="K12" i="2"/>
  <c r="P11" i="2"/>
  <c r="M11" i="2"/>
  <c r="L11" i="2"/>
  <c r="K11" i="2"/>
  <c r="P10" i="2"/>
  <c r="M10" i="2"/>
  <c r="L10" i="2"/>
  <c r="K10" i="2"/>
  <c r="P9" i="2"/>
  <c r="M9" i="2"/>
  <c r="L9" i="2"/>
  <c r="K9" i="2"/>
  <c r="P8" i="2"/>
  <c r="M8" i="2"/>
  <c r="L8" i="2"/>
  <c r="K8" i="2"/>
  <c r="P7" i="2"/>
  <c r="M7" i="2"/>
  <c r="L7" i="2"/>
  <c r="K7" i="2"/>
  <c r="P6" i="2"/>
  <c r="M6" i="2"/>
  <c r="L6" i="2"/>
  <c r="K6" i="2"/>
  <c r="P5" i="2"/>
  <c r="M5" i="2"/>
  <c r="L5" i="2"/>
  <c r="K5" i="2"/>
  <c r="P4" i="2"/>
  <c r="M4" i="2"/>
  <c r="L4" i="2"/>
  <c r="K4" i="2"/>
  <c r="P3" i="2"/>
  <c r="P75" i="2" s="1"/>
  <c r="P76" i="2" s="1"/>
  <c r="P78" i="2" s="1"/>
  <c r="M3" i="2"/>
  <c r="L3" i="2"/>
  <c r="K3" i="2"/>
  <c r="P70" i="1"/>
  <c r="M70" i="1"/>
  <c r="T70" i="1" s="1"/>
  <c r="L70" i="1"/>
  <c r="R70" i="1" s="1"/>
  <c r="K70" i="1"/>
  <c r="M69" i="1"/>
  <c r="L69" i="1"/>
  <c r="K69" i="1"/>
  <c r="M68" i="1"/>
  <c r="L68" i="1"/>
  <c r="K68" i="1"/>
  <c r="M67" i="1"/>
  <c r="L67" i="1"/>
  <c r="K67" i="1"/>
  <c r="M66" i="1"/>
  <c r="L66" i="1"/>
  <c r="K66" i="1"/>
  <c r="T65" i="1"/>
  <c r="R65" i="1"/>
  <c r="M65" i="1"/>
  <c r="L65" i="1"/>
  <c r="K65" i="1"/>
  <c r="P65" i="1" s="1"/>
  <c r="P64" i="1"/>
  <c r="M64" i="1"/>
  <c r="T64" i="1" s="1"/>
  <c r="L64" i="1"/>
  <c r="R64" i="1" s="1"/>
  <c r="K64" i="1"/>
  <c r="T63" i="1"/>
  <c r="R63" i="1"/>
  <c r="M63" i="1"/>
  <c r="L63" i="1"/>
  <c r="K63" i="1"/>
  <c r="P63" i="1" s="1"/>
  <c r="P62" i="1"/>
  <c r="M62" i="1"/>
  <c r="T62" i="1" s="1"/>
  <c r="L62" i="1"/>
  <c r="R62" i="1" s="1"/>
  <c r="K62" i="1"/>
  <c r="T61" i="1"/>
  <c r="R61" i="1"/>
  <c r="M61" i="1"/>
  <c r="L61" i="1"/>
  <c r="K61" i="1"/>
  <c r="P61" i="1" s="1"/>
  <c r="P60" i="1"/>
  <c r="M60" i="1"/>
  <c r="T60" i="1" s="1"/>
  <c r="L60" i="1"/>
  <c r="R60" i="1" s="1"/>
  <c r="K60" i="1"/>
  <c r="T59" i="1"/>
  <c r="R59" i="1"/>
  <c r="M59" i="1"/>
  <c r="L59" i="1"/>
  <c r="K59" i="1"/>
  <c r="P59" i="1" s="1"/>
  <c r="P58" i="1"/>
  <c r="M58" i="1"/>
  <c r="T58" i="1" s="1"/>
  <c r="L58" i="1"/>
  <c r="R58" i="1" s="1"/>
  <c r="K58" i="1"/>
  <c r="T57" i="1"/>
  <c r="R57" i="1"/>
  <c r="M57" i="1"/>
  <c r="L57" i="1"/>
  <c r="K57" i="1"/>
  <c r="P57" i="1" s="1"/>
  <c r="P56" i="1"/>
  <c r="M56" i="1"/>
  <c r="T56" i="1" s="1"/>
  <c r="L56" i="1"/>
  <c r="R56" i="1" s="1"/>
  <c r="K56" i="1"/>
  <c r="T55" i="1"/>
  <c r="R55" i="1"/>
  <c r="M55" i="1"/>
  <c r="L55" i="1"/>
  <c r="K55" i="1"/>
  <c r="P55" i="1" s="1"/>
  <c r="P54" i="1"/>
  <c r="M54" i="1"/>
  <c r="T54" i="1" s="1"/>
  <c r="L54" i="1"/>
  <c r="R54" i="1" s="1"/>
  <c r="K54" i="1"/>
  <c r="T53" i="1"/>
  <c r="R53" i="1"/>
  <c r="M53" i="1"/>
  <c r="L53" i="1"/>
  <c r="K53" i="1"/>
  <c r="P53" i="1" s="1"/>
  <c r="P52" i="1"/>
  <c r="M52" i="1"/>
  <c r="T52" i="1" s="1"/>
  <c r="L52" i="1"/>
  <c r="R52" i="1" s="1"/>
  <c r="K52" i="1"/>
  <c r="T51" i="1"/>
  <c r="R51" i="1"/>
  <c r="M51" i="1"/>
  <c r="L51" i="1"/>
  <c r="K51" i="1"/>
  <c r="P51" i="1" s="1"/>
  <c r="P50" i="1"/>
  <c r="M50" i="1"/>
  <c r="T50" i="1" s="1"/>
  <c r="L50" i="1"/>
  <c r="R50" i="1" s="1"/>
  <c r="K50" i="1"/>
  <c r="T49" i="1"/>
  <c r="R49" i="1"/>
  <c r="M49" i="1"/>
  <c r="L49" i="1"/>
  <c r="K49" i="1"/>
  <c r="P49" i="1" s="1"/>
  <c r="P48" i="1"/>
  <c r="M48" i="1"/>
  <c r="T48" i="1" s="1"/>
  <c r="L48" i="1"/>
  <c r="R48" i="1" s="1"/>
  <c r="K48" i="1"/>
  <c r="T47" i="1"/>
  <c r="R47" i="1"/>
  <c r="M47" i="1"/>
  <c r="L47" i="1"/>
  <c r="K47" i="1"/>
  <c r="P47" i="1" s="1"/>
  <c r="P46" i="1"/>
  <c r="M46" i="1"/>
  <c r="T46" i="1" s="1"/>
  <c r="L46" i="1"/>
  <c r="R46" i="1" s="1"/>
  <c r="K46" i="1"/>
  <c r="T45" i="1"/>
  <c r="R45" i="1"/>
  <c r="M45" i="1"/>
  <c r="L45" i="1"/>
  <c r="K45" i="1"/>
  <c r="P45" i="1" s="1"/>
  <c r="P44" i="1"/>
  <c r="M44" i="1"/>
  <c r="T44" i="1" s="1"/>
  <c r="L44" i="1"/>
  <c r="R44" i="1" s="1"/>
  <c r="K44" i="1"/>
  <c r="T43" i="1"/>
  <c r="R43" i="1"/>
  <c r="M43" i="1"/>
  <c r="L43" i="1"/>
  <c r="K43" i="1"/>
  <c r="P43" i="1" s="1"/>
  <c r="P42" i="1"/>
  <c r="M42" i="1"/>
  <c r="T42" i="1" s="1"/>
  <c r="L42" i="1"/>
  <c r="R42" i="1" s="1"/>
  <c r="K42" i="1"/>
  <c r="T41" i="1"/>
  <c r="R41" i="1"/>
  <c r="M41" i="1"/>
  <c r="L41" i="1"/>
  <c r="K41" i="1"/>
  <c r="P41" i="1" s="1"/>
  <c r="P40" i="1"/>
  <c r="M40" i="1"/>
  <c r="T40" i="1" s="1"/>
  <c r="L40" i="1"/>
  <c r="R40" i="1" s="1"/>
  <c r="K40" i="1"/>
  <c r="T39" i="1"/>
  <c r="R39" i="1"/>
  <c r="M39" i="1"/>
  <c r="L39" i="1"/>
  <c r="K39" i="1"/>
  <c r="P39" i="1" s="1"/>
  <c r="P38" i="1"/>
  <c r="M38" i="1"/>
  <c r="T38" i="1" s="1"/>
  <c r="L38" i="1"/>
  <c r="R38" i="1" s="1"/>
  <c r="K38" i="1"/>
  <c r="T37" i="1"/>
  <c r="R37" i="1"/>
  <c r="M37" i="1"/>
  <c r="L37" i="1"/>
  <c r="K37" i="1"/>
  <c r="P37" i="1" s="1"/>
  <c r="P36" i="1"/>
  <c r="M36" i="1"/>
  <c r="T36" i="1" s="1"/>
  <c r="L36" i="1"/>
  <c r="R36" i="1" s="1"/>
  <c r="K36" i="1"/>
  <c r="T35" i="1"/>
  <c r="R35" i="1"/>
  <c r="M35" i="1"/>
  <c r="L35" i="1"/>
  <c r="K35" i="1"/>
  <c r="P35" i="1" s="1"/>
  <c r="P34" i="1"/>
  <c r="M34" i="1"/>
  <c r="T34" i="1" s="1"/>
  <c r="L34" i="1"/>
  <c r="R34" i="1" s="1"/>
  <c r="K34" i="1"/>
  <c r="T33" i="1"/>
  <c r="R33" i="1"/>
  <c r="M33" i="1"/>
  <c r="L33" i="1"/>
  <c r="K33" i="1"/>
  <c r="P33" i="1" s="1"/>
  <c r="P32" i="1"/>
  <c r="M32" i="1"/>
  <c r="T32" i="1" s="1"/>
  <c r="L32" i="1"/>
  <c r="R32" i="1" s="1"/>
  <c r="K32" i="1"/>
  <c r="T31" i="1"/>
  <c r="R31" i="1"/>
  <c r="M31" i="1"/>
  <c r="L31" i="1"/>
  <c r="K31" i="1"/>
  <c r="P31" i="1" s="1"/>
  <c r="P30" i="1"/>
  <c r="M30" i="1"/>
  <c r="T30" i="1" s="1"/>
  <c r="L30" i="1"/>
  <c r="R30" i="1" s="1"/>
  <c r="K30" i="1"/>
  <c r="T29" i="1"/>
  <c r="R29" i="1"/>
  <c r="M29" i="1"/>
  <c r="L29" i="1"/>
  <c r="K29" i="1"/>
  <c r="P29" i="1" s="1"/>
  <c r="P28" i="1"/>
  <c r="M28" i="1"/>
  <c r="T28" i="1" s="1"/>
  <c r="L28" i="1"/>
  <c r="R28" i="1" s="1"/>
  <c r="K28" i="1"/>
  <c r="T27" i="1"/>
  <c r="R27" i="1"/>
  <c r="M27" i="1"/>
  <c r="L27" i="1"/>
  <c r="K27" i="1"/>
  <c r="P27" i="1" s="1"/>
  <c r="P26" i="1"/>
  <c r="M26" i="1"/>
  <c r="T26" i="1" s="1"/>
  <c r="L26" i="1"/>
  <c r="R26" i="1" s="1"/>
  <c r="K26" i="1"/>
  <c r="T25" i="1"/>
  <c r="R25" i="1"/>
  <c r="M25" i="1"/>
  <c r="L25" i="1"/>
  <c r="K25" i="1"/>
  <c r="P25" i="1" s="1"/>
  <c r="P24" i="1"/>
  <c r="M24" i="1"/>
  <c r="T24" i="1" s="1"/>
  <c r="L24" i="1"/>
  <c r="R24" i="1" s="1"/>
  <c r="K24" i="1"/>
  <c r="T23" i="1"/>
  <c r="R23" i="1"/>
  <c r="M23" i="1"/>
  <c r="L23" i="1"/>
  <c r="K23" i="1"/>
  <c r="P23" i="1" s="1"/>
  <c r="P22" i="1"/>
  <c r="M22" i="1"/>
  <c r="T22" i="1" s="1"/>
  <c r="L22" i="1"/>
  <c r="R22" i="1" s="1"/>
  <c r="K22" i="1"/>
  <c r="T21" i="1"/>
  <c r="R21" i="1"/>
  <c r="M21" i="1"/>
  <c r="L21" i="1"/>
  <c r="K21" i="1"/>
  <c r="P21" i="1" s="1"/>
  <c r="P20" i="1"/>
  <c r="M20" i="1"/>
  <c r="T20" i="1" s="1"/>
  <c r="L20" i="1"/>
  <c r="R20" i="1" s="1"/>
  <c r="K20" i="1"/>
  <c r="T19" i="1"/>
  <c r="R19" i="1"/>
  <c r="M19" i="1"/>
  <c r="L19" i="1"/>
  <c r="K19" i="1"/>
  <c r="P19" i="1" s="1"/>
  <c r="P18" i="1"/>
  <c r="M18" i="1"/>
  <c r="T18" i="1" s="1"/>
  <c r="L18" i="1"/>
  <c r="R18" i="1" s="1"/>
  <c r="K18" i="1"/>
  <c r="T17" i="1"/>
  <c r="R17" i="1"/>
  <c r="M17" i="1"/>
  <c r="L17" i="1"/>
  <c r="K17" i="1"/>
  <c r="P17" i="1" s="1"/>
  <c r="P16" i="1"/>
  <c r="M16" i="1"/>
  <c r="T16" i="1" s="1"/>
  <c r="L16" i="1"/>
  <c r="R16" i="1" s="1"/>
  <c r="K16" i="1"/>
  <c r="T15" i="1"/>
  <c r="R15" i="1"/>
  <c r="M15" i="1"/>
  <c r="L15" i="1"/>
  <c r="K15" i="1"/>
  <c r="P15" i="1" s="1"/>
  <c r="P14" i="1"/>
  <c r="M14" i="1"/>
  <c r="T14" i="1" s="1"/>
  <c r="L14" i="1"/>
  <c r="R14" i="1" s="1"/>
  <c r="K14" i="1"/>
  <c r="T13" i="1"/>
  <c r="R13" i="1"/>
  <c r="M13" i="1"/>
  <c r="L13" i="1"/>
  <c r="K13" i="1"/>
  <c r="P13" i="1" s="1"/>
  <c r="P12" i="1"/>
  <c r="M12" i="1"/>
  <c r="T12" i="1" s="1"/>
  <c r="L12" i="1"/>
  <c r="R12" i="1" s="1"/>
  <c r="K12" i="1"/>
  <c r="T11" i="1"/>
  <c r="R11" i="1"/>
  <c r="M11" i="1"/>
  <c r="L11" i="1"/>
  <c r="K11" i="1"/>
  <c r="P11" i="1" s="1"/>
  <c r="P10" i="1"/>
  <c r="M10" i="1"/>
  <c r="T10" i="1" s="1"/>
  <c r="L10" i="1"/>
  <c r="R10" i="1" s="1"/>
  <c r="K10" i="1"/>
  <c r="T9" i="1"/>
  <c r="R9" i="1"/>
  <c r="M9" i="1"/>
  <c r="L9" i="1"/>
  <c r="K9" i="1"/>
  <c r="P9" i="1" s="1"/>
  <c r="P8" i="1"/>
  <c r="M8" i="1"/>
  <c r="T8" i="1" s="1"/>
  <c r="L8" i="1"/>
  <c r="R8" i="1" s="1"/>
  <c r="K8" i="1"/>
  <c r="T7" i="1"/>
  <c r="R7" i="1"/>
  <c r="M7" i="1"/>
  <c r="L7" i="1"/>
  <c r="K7" i="1"/>
  <c r="P7" i="1" s="1"/>
  <c r="P6" i="1"/>
  <c r="M6" i="1"/>
  <c r="T6" i="1" s="1"/>
  <c r="L6" i="1"/>
  <c r="R6" i="1" s="1"/>
  <c r="K6" i="1"/>
  <c r="T5" i="1"/>
  <c r="R5" i="1"/>
  <c r="M5" i="1"/>
  <c r="L5" i="1"/>
  <c r="K5" i="1"/>
  <c r="P5" i="1" s="1"/>
  <c r="P4" i="1"/>
  <c r="M4" i="1"/>
  <c r="T4" i="1" s="1"/>
  <c r="L4" i="1"/>
  <c r="R4" i="1" s="1"/>
  <c r="K4" i="1"/>
  <c r="T3" i="1"/>
  <c r="T71" i="1" s="1"/>
  <c r="T72" i="1" s="1"/>
  <c r="T74" i="1" s="1"/>
  <c r="R3" i="1"/>
  <c r="M3" i="1"/>
  <c r="L3" i="1"/>
  <c r="K3" i="1"/>
  <c r="P3" i="1" s="1"/>
  <c r="P71" i="1" s="1"/>
  <c r="P72" i="1" s="1"/>
  <c r="P74" i="1" s="1"/>
  <c r="R71" i="1" l="1"/>
  <c r="R72" i="1" s="1"/>
  <c r="R74" i="1" s="1"/>
</calcChain>
</file>

<file path=xl/sharedStrings.xml><?xml version="1.0" encoding="utf-8"?>
<sst xmlns="http://schemas.openxmlformats.org/spreadsheetml/2006/main" count="1262" uniqueCount="385">
  <si>
    <t>Bill of Material (BOM) for Grant</t>
  </si>
  <si>
    <t>S. No.</t>
  </si>
  <si>
    <t>Components</t>
  </si>
  <si>
    <t>Description</t>
  </si>
  <si>
    <t>Designator</t>
  </si>
  <si>
    <t>Footprint (Package)</t>
  </si>
  <si>
    <t>Manufacturer Part Number</t>
  </si>
  <si>
    <t>Manufacturer</t>
  </si>
  <si>
    <t>Alternate</t>
  </si>
  <si>
    <t>Value</t>
  </si>
  <si>
    <t>Quantity (Per Board)</t>
  </si>
  <si>
    <t>Quantity 5</t>
  </si>
  <si>
    <t>Quantity 50</t>
  </si>
  <si>
    <t>Quantity 100</t>
  </si>
  <si>
    <t>Link</t>
  </si>
  <si>
    <t>Unit Cost(5)</t>
  </si>
  <si>
    <t>Total Cost(5)</t>
  </si>
  <si>
    <t>Unit Cost(50)</t>
  </si>
  <si>
    <t>Total Cost (50)</t>
  </si>
  <si>
    <t>Unit Cost(100)</t>
  </si>
  <si>
    <t>Total Cost (100)</t>
  </si>
  <si>
    <t>Remarks</t>
  </si>
  <si>
    <t>Capacitor</t>
  </si>
  <si>
    <t>CAP ALUM 6.8UF 20% 25V SMD</t>
  </si>
  <si>
    <t>C1</t>
  </si>
  <si>
    <t>Custom</t>
  </si>
  <si>
    <t>EEEHB1E6R8R</t>
  </si>
  <si>
    <t>Panasonic</t>
  </si>
  <si>
    <t>--------</t>
  </si>
  <si>
    <t>6.8uF</t>
  </si>
  <si>
    <t>Digikey</t>
  </si>
  <si>
    <t>CAP ALUM 10uF 25V SMD</t>
  </si>
  <si>
    <t>C2</t>
  </si>
  <si>
    <t>RVT1E100M0405</t>
  </si>
  <si>
    <t>ROQANG</t>
  </si>
  <si>
    <t>25SEV10M4X5.5</t>
  </si>
  <si>
    <t>10uF</t>
  </si>
  <si>
    <t xml:space="preserve">Alternate part ki Specs Same han footprint change ha </t>
  </si>
  <si>
    <t xml:space="preserve">CAP CER 0.1UF 50V X7R 0402
</t>
  </si>
  <si>
    <t>C6, C10, C11, C12, C13, C14, C15, C18, C21, C22, C24, C25, C27, C29, C30, CF2</t>
  </si>
  <si>
    <t>Cap 0402</t>
  </si>
  <si>
    <t xml:space="preserve">C1005X7R1H104K050BB
</t>
  </si>
  <si>
    <t xml:space="preserve">
TDK Corporation</t>
  </si>
  <si>
    <t>0.1uF</t>
  </si>
  <si>
    <t>Ye part change kia ha voltage rating ki waja se design me 16V ka part use ho raha ha or 'C22, C25, C27, C35 ye designator merge kiye han humne iska footprint 0603 ha ye design me b change krne han hume</t>
  </si>
  <si>
    <t>CAP CER 22UF 25V X5R 0805</t>
  </si>
  <si>
    <t>C7, CE1</t>
  </si>
  <si>
    <t>Cap0805</t>
  </si>
  <si>
    <t>GRM21BR61E226ME44L</t>
  </si>
  <si>
    <t>Murata</t>
  </si>
  <si>
    <t>22uF</t>
  </si>
  <si>
    <t>1uF 10V ±20% 0805 Tantalum Capacitors ROHS</t>
  </si>
  <si>
    <t>C8, C19</t>
  </si>
  <si>
    <t>TCP1A105M8R</t>
  </si>
  <si>
    <t>ROHM</t>
  </si>
  <si>
    <t>1UF</t>
  </si>
  <si>
    <t>CAP CER 25PF 50V C0G/NPO 0603</t>
  </si>
  <si>
    <t>C9</t>
  </si>
  <si>
    <t>Cap 0603</t>
  </si>
  <si>
    <t>CC0603JRNPO9BN250</t>
  </si>
  <si>
    <t>YAGEO</t>
  </si>
  <si>
    <t>25pF</t>
  </si>
  <si>
    <t>CAP CER 20PF 25V C0H 0201</t>
  </si>
  <si>
    <t>C16, C17, CX1, CX2</t>
  </si>
  <si>
    <t>Cap 0201</t>
  </si>
  <si>
    <t>GJM0336C1E200JB01D</t>
  </si>
  <si>
    <t>CC0201JRNPO8BN200</t>
  </si>
  <si>
    <t>20pF</t>
  </si>
  <si>
    <t>CAP CER 0.022UF 100V X7R 0603</t>
  </si>
  <si>
    <t>C20</t>
  </si>
  <si>
    <t>CGA3E2X7R2A223K080AA</t>
  </si>
  <si>
    <t>TDK</t>
  </si>
  <si>
    <t>22nF</t>
  </si>
  <si>
    <t>CAP TANT 4.7UF 10% 35V 1411</t>
  </si>
  <si>
    <t>C23</t>
  </si>
  <si>
    <t xml:space="preserve">B Case </t>
  </si>
  <si>
    <t>TAJB475K035RNJ</t>
  </si>
  <si>
    <t>Kyocera AVX</t>
  </si>
  <si>
    <t>4.7UF</t>
  </si>
  <si>
    <t>Mouser</t>
  </si>
  <si>
    <t>CAP ALUM 100UF 20% 25V SMD</t>
  </si>
  <si>
    <t>C26</t>
  </si>
  <si>
    <t>UWX1E101MCL1GB</t>
  </si>
  <si>
    <t>Nichicon</t>
  </si>
  <si>
    <t>100uF</t>
  </si>
  <si>
    <t>Arrow</t>
  </si>
  <si>
    <t>CAP CER 4.7UF 25V X5R 0603</t>
  </si>
  <si>
    <t>C31</t>
  </si>
  <si>
    <t>CL10A475KA8NQNC</t>
  </si>
  <si>
    <t>Samsung</t>
  </si>
  <si>
    <t>4.7uF</t>
  </si>
  <si>
    <t>CAP CER 2.2UF 16V X5R 0402</t>
  </si>
  <si>
    <t>CR1</t>
  </si>
  <si>
    <t>EMK105ABJ225KV-F</t>
  </si>
  <si>
    <t>Taiyo Yuden</t>
  </si>
  <si>
    <t>2.2uF</t>
  </si>
  <si>
    <t>CAP TANT 0.33 uF 20 V ±20% 0402</t>
  </si>
  <si>
    <t>C50</t>
  </si>
  <si>
    <t>TCTU1D334M8R</t>
  </si>
  <si>
    <t>Rohm</t>
  </si>
  <si>
    <t>330nF</t>
  </si>
  <si>
    <t>CAP CER 220PF 50V C0G/NPO 0402</t>
  </si>
  <si>
    <t>CF1</t>
  </si>
  <si>
    <t>CC0402JRNPO9BN221</t>
  </si>
  <si>
    <t>Yageo</t>
  </si>
  <si>
    <t>-------</t>
  </si>
  <si>
    <t>220pF</t>
  </si>
  <si>
    <t>Diode</t>
  </si>
  <si>
    <t>DIODE SCHOTTKY 30V 2A PMDU</t>
  </si>
  <si>
    <t>D2</t>
  </si>
  <si>
    <t>SOD123F</t>
  </si>
  <si>
    <t>RB060M-30TR</t>
  </si>
  <si>
    <t>Rohm Semiconductor</t>
  </si>
  <si>
    <t>Quest</t>
  </si>
  <si>
    <t>DIODE SCHOTTKY 30V 1A SOD123W</t>
  </si>
  <si>
    <t>D1, D3</t>
  </si>
  <si>
    <t>SOD123W</t>
  </si>
  <si>
    <t>PMEG3010ER,115</t>
  </si>
  <si>
    <t>Nexperia</t>
  </si>
  <si>
    <t>------</t>
  </si>
  <si>
    <t>---</t>
  </si>
  <si>
    <t>LED</t>
  </si>
  <si>
    <t>Red 625nm 0402 Light Emitting Diodes (LED) RoHS</t>
  </si>
  <si>
    <t>LED1, LED2</t>
  </si>
  <si>
    <t>LED 0402</t>
  </si>
  <si>
    <t>TJ-S1005SW4TGLC2R-A5</t>
  </si>
  <si>
    <t>TOGIALED</t>
  </si>
  <si>
    <t xml:space="preserve">VLMS1500-GS08
</t>
  </si>
  <si>
    <t>Mosfet</t>
  </si>
  <si>
    <t xml:space="preserve">MOSFET P-CH 20V 1.6A SUPERSOT3
</t>
  </si>
  <si>
    <t>Q1</t>
  </si>
  <si>
    <t>SOT23-3</t>
  </si>
  <si>
    <t>FDN338P</t>
  </si>
  <si>
    <t>UMW</t>
  </si>
  <si>
    <t>Out of Stock</t>
  </si>
  <si>
    <t>MOSFET P-CH 20V 2.8A SOT-23</t>
  </si>
  <si>
    <t>Q2</t>
  </si>
  <si>
    <t>PMV65XP,215</t>
  </si>
  <si>
    <t>MOSFET N-CH 100V .1A SOT23-3</t>
  </si>
  <si>
    <t>Q3</t>
  </si>
  <si>
    <t>ZVN3310FTA</t>
  </si>
  <si>
    <t>Diodes Zetex</t>
  </si>
  <si>
    <t>SOT-23 MOSFETs ROHS</t>
  </si>
  <si>
    <t>Q4</t>
  </si>
  <si>
    <t>FDN335N</t>
  </si>
  <si>
    <t>MOSFET N/P-CH 60V/50V SC70-6</t>
  </si>
  <si>
    <t>Q5</t>
  </si>
  <si>
    <t>SOT-363</t>
  </si>
  <si>
    <t>BSS8402DW-7-F</t>
  </si>
  <si>
    <t>Diodes</t>
  </si>
  <si>
    <t>TRANS PNP 60V 3A SOT223</t>
  </si>
  <si>
    <t>QF1</t>
  </si>
  <si>
    <t>NZT660A</t>
  </si>
  <si>
    <t>ON Semiconductor / Fairchild</t>
  </si>
  <si>
    <t>Switch</t>
  </si>
  <si>
    <t>SPDT 5A 120V On-On DIP Toggle Switches RoHS</t>
  </si>
  <si>
    <t>S1</t>
  </si>
  <si>
    <t>SS-12D11L5</t>
  </si>
  <si>
    <t>XKB Enterprise</t>
  </si>
  <si>
    <t>MS12ASG30</t>
  </si>
  <si>
    <t>SWITCH TACTILE SPST-NO 0.05A 12V</t>
  </si>
  <si>
    <t>SW1</t>
  </si>
  <si>
    <t>B3U-1000P</t>
  </si>
  <si>
    <t>Omron</t>
  </si>
  <si>
    <t>Inductor</t>
  </si>
  <si>
    <t>10uH ±20% 1.6A 230mΩ SMD,4.75x4.2x2mm Inductors (SMD) RoHS</t>
  </si>
  <si>
    <t>LZ1</t>
  </si>
  <si>
    <t>MS0420-100M</t>
  </si>
  <si>
    <t>COILMX</t>
  </si>
  <si>
    <t>BMRA00040420100MA1</t>
  </si>
  <si>
    <t xml:space="preserve">Alternate part ki Specs Change han footprint change ha </t>
  </si>
  <si>
    <t>Crystal</t>
  </si>
  <si>
    <t>CRYSTAL 32.7680KHZ 12.5PF SMD</t>
  </si>
  <si>
    <t>X1, X2</t>
  </si>
  <si>
    <t>NX3215SA-32.768K-STD-MUA-8</t>
  </si>
  <si>
    <t>NDK</t>
  </si>
  <si>
    <t>Resistor</t>
  </si>
  <si>
    <t xml:space="preserve">RES 470 OHM 5% 1/16W 0402
</t>
  </si>
  <si>
    <t>R1</t>
  </si>
  <si>
    <t>Res0402</t>
  </si>
  <si>
    <t>RTT02471JTH</t>
  </si>
  <si>
    <t>RALEC</t>
  </si>
  <si>
    <t>RMCF0402JT470R</t>
  </si>
  <si>
    <t>470R</t>
  </si>
  <si>
    <t>RES SMD 1.5K OHM 1% 1/20W 0201</t>
  </si>
  <si>
    <t>R2</t>
  </si>
  <si>
    <t>Res-0201</t>
  </si>
  <si>
    <t>RMCF0201FT1K50</t>
  </si>
  <si>
    <t>Stackpole Electronics</t>
  </si>
  <si>
    <t>1.5K</t>
  </si>
  <si>
    <t>RES SMD 20K OHM 5% 1/16W 0402</t>
  </si>
  <si>
    <t>R3, R4, R9, R10, R20, RP2</t>
  </si>
  <si>
    <t>RC0402JR-0720KL</t>
  </si>
  <si>
    <t>20K</t>
  </si>
  <si>
    <t>RES SMD 2K OHM 1% 1/16W 0402</t>
  </si>
  <si>
    <t>R5</t>
  </si>
  <si>
    <t>RC0402FR-072KL</t>
  </si>
  <si>
    <t>2K</t>
  </si>
  <si>
    <t>RES SMD 30.9K OHM 1% 1/16W 0402</t>
  </si>
  <si>
    <t>R7</t>
  </si>
  <si>
    <t>AC0402FR-0730K9L</t>
  </si>
  <si>
    <t>30.9K</t>
  </si>
  <si>
    <t>RES 10K OHM 5% 1/10W 0402</t>
  </si>
  <si>
    <t>R6, R8, R11, R12, R15, R16, R17, R33, R34</t>
  </si>
  <si>
    <t>RK73B1ETTP103J</t>
  </si>
  <si>
    <t>KOA Speer</t>
  </si>
  <si>
    <t>ESR01MZPJ103</t>
  </si>
  <si>
    <t>10K</t>
  </si>
  <si>
    <t>RES SMD 133K OHM 1% 1/16W 0402</t>
  </si>
  <si>
    <t>R13</t>
  </si>
  <si>
    <t>RC0402FR-07133KL</t>
  </si>
  <si>
    <t>133K</t>
  </si>
  <si>
    <t>RES 49.9K OHM 1% 1/10W 0402</t>
  </si>
  <si>
    <t>R14</t>
  </si>
  <si>
    <t>RK73H1ETTP4992F</t>
  </si>
  <si>
    <t>RMCF0402FT49K9</t>
  </si>
  <si>
    <t>49.9K</t>
  </si>
  <si>
    <t>RES SMD 0 OHM JUMPER 1/16W 0402</t>
  </si>
  <si>
    <t>R18, R19, RF22, RF23</t>
  </si>
  <si>
    <t>RC0402JR-070RL</t>
  </si>
  <si>
    <t xml:space="preserve">RC0402FR-070RL
</t>
  </si>
  <si>
    <t>0R</t>
  </si>
  <si>
    <t>RES SMD 47K OHM 1% 1/16W 0402</t>
  </si>
  <si>
    <t>R24, R25, RZ1</t>
  </si>
  <si>
    <t>RC0402FR-0747KL</t>
  </si>
  <si>
    <t>47K</t>
  </si>
  <si>
    <t>RES SMD 1K OHM 5% 1/10W 0402</t>
  </si>
  <si>
    <t>R26, RF2</t>
  </si>
  <si>
    <t>ERJ-2GEJ102X</t>
  </si>
  <si>
    <t xml:space="preserve">RC0402JR-071KL
</t>
  </si>
  <si>
    <t>1K</t>
  </si>
  <si>
    <t>RES SMD 100K OHM 1% 1/5W 0402</t>
  </si>
  <si>
    <t>R28, R30, R31, R32</t>
  </si>
  <si>
    <t>ERJPA2F1003X</t>
  </si>
  <si>
    <t>RC0402JR-07100KL</t>
  </si>
  <si>
    <t>100K</t>
  </si>
  <si>
    <t>Wattage is change</t>
  </si>
  <si>
    <t>RES SMD 4.7K OHM 1% 1/10W 0603</t>
  </si>
  <si>
    <t>R29</t>
  </si>
  <si>
    <t>Res0603</t>
  </si>
  <si>
    <t>RC0603FR-074K7L</t>
  </si>
  <si>
    <t>4.7K</t>
  </si>
  <si>
    <t xml:space="preserve">RES 0.068 OHM 1% 1/4W 0805
</t>
  </si>
  <si>
    <t>RF1</t>
  </si>
  <si>
    <t>RES 0805</t>
  </si>
  <si>
    <t>0805W4F680MT5E</t>
  </si>
  <si>
    <t>UNI-ROYAL(Uniroyal Elec)</t>
  </si>
  <si>
    <t>KDV08FR068ET</t>
  </si>
  <si>
    <t>0.068R</t>
  </si>
  <si>
    <t>RES SMD 1M OHM 1% 1/16W 0402</t>
  </si>
  <si>
    <t>RF3, RF4</t>
  </si>
  <si>
    <t>RC0402FR-071ML</t>
  </si>
  <si>
    <t>RMCF0402JT1M00</t>
  </si>
  <si>
    <t>1M</t>
  </si>
  <si>
    <t>RES SMD 118K OHM 1% 1/16W 0402</t>
  </si>
  <si>
    <t>RF5</t>
  </si>
  <si>
    <t>AC0402FR-07118KL</t>
  </si>
  <si>
    <t>118K</t>
  </si>
  <si>
    <t>RES SMD 13.3K OHM 1% 1/16W 0402</t>
  </si>
  <si>
    <t>RF6</t>
  </si>
  <si>
    <t>RC0402FR-0713K3L</t>
  </si>
  <si>
    <t>13.3K</t>
  </si>
  <si>
    <t>RES 10.5K 0.1W ± 100ppm/℃ 0603</t>
  </si>
  <si>
    <t>RP1</t>
  </si>
  <si>
    <t>RC0603FR-0710K5L</t>
  </si>
  <si>
    <t>CRCW060310K5FKEAC</t>
  </si>
  <si>
    <t>10.5K</t>
  </si>
  <si>
    <t>IC</t>
  </si>
  <si>
    <t>IC REG LDO 3.3V 1A SOT223</t>
  </si>
  <si>
    <t>U1</t>
  </si>
  <si>
    <t>SOT223</t>
  </si>
  <si>
    <t>SPX3940AM3-L-3-3/TR</t>
  </si>
  <si>
    <t>Exar</t>
  </si>
  <si>
    <t>TVS DIODE 5V 6.8V 6UDFN</t>
  </si>
  <si>
    <t>U2</t>
  </si>
  <si>
    <t>6UDFN</t>
  </si>
  <si>
    <t>SP3014-02UTG</t>
  </si>
  <si>
    <t>Littelfuse</t>
  </si>
  <si>
    <t>IC VREF SHUNT 18V 0.5% SOT23</t>
  </si>
  <si>
    <t>U3</t>
  </si>
  <si>
    <t>TLV431BFTA</t>
  </si>
  <si>
    <t>IC COMPARATOR LP DUAL 8-SOIC</t>
  </si>
  <si>
    <t>U4</t>
  </si>
  <si>
    <t xml:space="preserve">8-SOIC
</t>
  </si>
  <si>
    <t>LM393DT</t>
  </si>
  <si>
    <t>STMicroelectronics</t>
  </si>
  <si>
    <t>IC MCU 32BIT 256KB FLASH 48TQFP</t>
  </si>
  <si>
    <t>U5</t>
  </si>
  <si>
    <t>48TQFP</t>
  </si>
  <si>
    <t>SAMD21G18A-AUT</t>
  </si>
  <si>
    <t>Microchip</t>
  </si>
  <si>
    <t>IC AMP CLASS AB MONO 1W 8SOIC</t>
  </si>
  <si>
    <t>U6</t>
  </si>
  <si>
    <t>SOIC-8</t>
  </si>
  <si>
    <t>LM4890MX/NOPB</t>
  </si>
  <si>
    <t>Texas Instruments</t>
  </si>
  <si>
    <t>IC MOTOR DRIVER DC 5.5V 16HTSSOP</t>
  </si>
  <si>
    <t>U7</t>
  </si>
  <si>
    <t>16HTSSOP</t>
  </si>
  <si>
    <t>DRV8876PWPR</t>
  </si>
  <si>
    <t>IC RTC CLK/CALENDAR I2C 8-SOIC</t>
  </si>
  <si>
    <t>U8</t>
  </si>
  <si>
    <t>MCP7940N-I/SN</t>
  </si>
  <si>
    <t>IC LI-ION LDO CHARGE MGMT 8SOIC</t>
  </si>
  <si>
    <t>UF1</t>
  </si>
  <si>
    <t>BQ2057WSNTR</t>
  </si>
  <si>
    <t>IC REG BOOST ADJ 2A SOT23-5</t>
  </si>
  <si>
    <t>UF2</t>
  </si>
  <si>
    <t>SOT23-5</t>
  </si>
  <si>
    <t>LMR62014XMF/NOPB</t>
  </si>
  <si>
    <t>TI National Semiconductor</t>
  </si>
  <si>
    <t xml:space="preserve">LMR62014XMFE/NOPB
</t>
  </si>
  <si>
    <t>2.54mm Straight 1x10P 10 1 Plugin,P=2.54mm Female Headers ROHS</t>
  </si>
  <si>
    <t>J1</t>
  </si>
  <si>
    <t>C35445</t>
  </si>
  <si>
    <t>BOOMELE</t>
  </si>
  <si>
    <t>PPTC051LFBN-RC</t>
  </si>
  <si>
    <t>Slightly change in height and mating length</t>
  </si>
  <si>
    <t>DC Power Receptacle Jack 2.5A 2.5mm 6.5mm SMD Power Connectors RoHS</t>
  </si>
  <si>
    <t>J2</t>
  </si>
  <si>
    <t>DC-005-5A-2.5-SMT</t>
  </si>
  <si>
    <t xml:space="preserve">DCJ250-05-A-K1-A
</t>
  </si>
  <si>
    <t>USB - Micro B Female USB 2 5 SMD USB Connectors RoHS</t>
  </si>
  <si>
    <t>J3</t>
  </si>
  <si>
    <t>C10418</t>
  </si>
  <si>
    <t>Jing Extension of the Electronic</t>
  </si>
  <si>
    <t xml:space="preserve">MCR-B-S-RA-SMT-CS5A-NF-T/R
</t>
  </si>
  <si>
    <t>CONN HEADER SMD 10POS 1.27MM</t>
  </si>
  <si>
    <t>J4</t>
  </si>
  <si>
    <t>20021121-00010C4LF</t>
  </si>
  <si>
    <t>Amphenol FCI</t>
  </si>
  <si>
    <t>2 PIN JST Connector</t>
  </si>
  <si>
    <t>P17</t>
  </si>
  <si>
    <t>2 Pin JST Connector</t>
  </si>
  <si>
    <t xml:space="preserve">B2B-XH-A(LF)(SN)
</t>
  </si>
  <si>
    <t>SMD Battery Holders, Clips &amp; Contacts RoHS</t>
  </si>
  <si>
    <t>J6</t>
  </si>
  <si>
    <t>CR1220-2</t>
  </si>
  <si>
    <t>Q&amp;J</t>
  </si>
  <si>
    <t>CH25</t>
  </si>
  <si>
    <t>P=5.0mm Screw terminal RoHS</t>
  </si>
  <si>
    <t>J7</t>
  </si>
  <si>
    <t>WJ301V-5.0-3P</t>
  </si>
  <si>
    <t>Ningbo Kangnex Elec</t>
  </si>
  <si>
    <t>J8, J#1</t>
  </si>
  <si>
    <t>WJ301V-5.0-2P</t>
  </si>
  <si>
    <t>Wire Connecting Pad</t>
  </si>
  <si>
    <t>P1</t>
  </si>
  <si>
    <t>SMD PAD</t>
  </si>
  <si>
    <t xml:space="preserve">Do NOT Mount </t>
  </si>
  <si>
    <t>Test Point ON</t>
  </si>
  <si>
    <t>P2, P12, P13, P14, P15, P16</t>
  </si>
  <si>
    <t>TEST POINT</t>
  </si>
  <si>
    <t>CBL PLUG-OF-NAILS 10-PIN W/LEGS</t>
  </si>
  <si>
    <t>J5</t>
  </si>
  <si>
    <t>TC2050-IDC</t>
  </si>
  <si>
    <t>Tag-Connect</t>
  </si>
  <si>
    <t>Solder Bridge ON</t>
  </si>
  <si>
    <t>SB2, SB3, SB16, SB17, SB18, SB19, SB20, SB21, SB_ZD1</t>
  </si>
  <si>
    <t>Solder Bridge</t>
  </si>
  <si>
    <t>Peripheral</t>
  </si>
  <si>
    <t>LS-SG555 37MM Dc Gear Motor</t>
  </si>
  <si>
    <t>LS-SG555</t>
  </si>
  <si>
    <t>Ningbo Leison Motor</t>
  </si>
  <si>
    <t>Custom Supplier</t>
  </si>
  <si>
    <t>Delivery time: 15 days after got the payment</t>
  </si>
  <si>
    <t xml:space="preserve">Total Component Cost </t>
  </si>
  <si>
    <t>Single Board Cost</t>
  </si>
  <si>
    <t>Motor Shipping Cost</t>
  </si>
  <si>
    <t>Total Cost</t>
  </si>
  <si>
    <t>Ye part change kia ha voltage rating ki waja se design me 16V ka part use ho raha ha or 'C22, C25, C27 ye designator merge kiye han humne iska footprint 0603 ha ye design me b change krne han hume</t>
  </si>
  <si>
    <t>Battery</t>
  </si>
  <si>
    <t>Alkaline cell</t>
  </si>
  <si>
    <t>AA LR6</t>
  </si>
  <si>
    <t>Energizer</t>
  </si>
  <si>
    <t>OLED</t>
  </si>
  <si>
    <t>128x64 green pixels OLED display</t>
  </si>
  <si>
    <t>GDON242-2864KSWUG01-C24</t>
  </si>
  <si>
    <t>GooDisplay</t>
  </si>
  <si>
    <t>Proximity Sensor</t>
  </si>
  <si>
    <t>Capacitive proximity switch</t>
  </si>
  <si>
    <t> CR18-8DN</t>
  </si>
  <si>
    <t>Magnetic contact switch</t>
  </si>
  <si>
    <t>Normally open reed switch</t>
  </si>
  <si>
    <t>Adafruit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</si>
</sst>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0.00_);[Red]\(&quot;$&quot;#,##0.00\)"/>
    <numFmt numFmtId="165" formatCode="&quot;$&quot;#,##0.0000"/>
    <numFmt numFmtId="167" formatCode="&quot;$&quot;#,##0.00"/>
    <numFmt numFmtId="168" formatCode="&quot;$&quot;#,##0.0000_);[Red]\(&quot;$&quot;#,##0.0000\)"/>
    <numFmt numFmtId="169" formatCode="&quot;$&quot;#,##0.000_);[Red]\(&quot;$&quot;#,##0.000\)"/>
  </numFmts>
  <fonts count="32">
    <font>
      <sz val="11"/>
      <color theme="1"/>
      <name val="Calibri"/>
      <charset val="134"/>
      <scheme val="minor"/>
    </font>
    <font>
      <b/>
      <sz val="12"/>
      <color theme="0"/>
      <name val="Calibri"/>
      <charset val="134"/>
      <scheme val="minor"/>
    </font>
    <font>
      <b/>
      <sz val="11"/>
      <color theme="0"/>
      <name val="Calibri"/>
      <charset val="134"/>
      <scheme val="minor"/>
    </font>
    <font>
      <b/>
      <sz val="12"/>
      <color theme="1"/>
      <name val="Calibri"/>
      <charset val="134"/>
      <scheme val="minor"/>
    </font>
    <font>
      <sz val="10"/>
      <color theme="1"/>
      <name val="Calibri"/>
      <charset val="134"/>
      <scheme val="minor"/>
    </font>
    <font>
      <strike/>
      <sz val="10"/>
      <color rgb="FFFF0000"/>
      <name val="Calibri"/>
      <charset val="134"/>
      <scheme val="minor"/>
    </font>
    <font>
      <sz val="10"/>
      <name val="Calibri"/>
      <charset val="134"/>
    </font>
    <font>
      <sz val="10"/>
      <color theme="1"/>
      <name val="Calibri"/>
      <charset val="134"/>
    </font>
    <font>
      <u/>
      <sz val="10"/>
      <color theme="10"/>
      <name val="Calibri"/>
      <charset val="134"/>
      <scheme val="minor"/>
    </font>
    <font>
      <sz val="10"/>
      <name val="Calibri"/>
      <charset val="134"/>
      <scheme val="minor"/>
    </font>
    <font>
      <u/>
      <sz val="10"/>
      <color rgb="FF800080"/>
      <name val="Calibri"/>
      <charset val="134"/>
      <scheme val="minor"/>
    </font>
    <font>
      <u/>
      <sz val="11"/>
      <color rgb="FF800080"/>
      <name val="Calibri"/>
      <charset val="134"/>
      <scheme val="minor"/>
    </font>
    <font>
      <sz val="10"/>
      <color rgb="FF212529"/>
      <name val="Calibri"/>
      <charset val="134"/>
      <scheme val="minor"/>
    </font>
    <font>
      <u/>
      <sz val="11"/>
      <color theme="10"/>
      <name val="Calibri"/>
      <charset val="134"/>
      <scheme val="minor"/>
    </font>
    <font>
      <b/>
      <sz val="10"/>
      <color theme="0"/>
      <name val="Calibri"/>
      <charset val="134"/>
      <scheme val="minor"/>
    </font>
    <font>
      <b/>
      <sz val="10"/>
      <color rgb="FFFF0000"/>
      <name val="Calibri"/>
      <charset val="134"/>
      <scheme val="minor"/>
    </font>
    <font>
      <b/>
      <sz val="10"/>
      <color theme="5"/>
      <name val="Calibri"/>
      <charset val="134"/>
      <scheme val="minor"/>
    </font>
    <font>
      <sz val="10"/>
      <color rgb="FFFF0000"/>
      <name val="Calibri"/>
      <charset val="134"/>
      <scheme val="minor"/>
    </font>
    <font>
      <b/>
      <sz val="11"/>
      <color theme="1"/>
      <name val="Calibri"/>
      <charset val="134"/>
    </font>
    <font>
      <sz val="10"/>
      <color rgb="FF151515"/>
      <name val="Calibri"/>
      <charset val="134"/>
    </font>
    <font>
      <sz val="11"/>
      <color theme="1"/>
      <name val="Calibri"/>
      <charset val="134"/>
    </font>
    <font>
      <sz val="10"/>
      <color rgb="FF444444"/>
      <name val="Calibri"/>
      <charset val="134"/>
    </font>
    <font>
      <sz val="10"/>
      <color rgb="FF222222"/>
      <name val="Calibri"/>
      <charset val="134"/>
    </font>
    <font>
      <b/>
      <sz val="11"/>
      <color rgb="FF000000"/>
      <name val="Calibri"/>
      <charset val="134"/>
    </font>
    <font>
      <sz val="10"/>
      <color rgb="FF000000"/>
      <name val="Calibri"/>
      <charset val="134"/>
    </font>
    <font>
      <u/>
      <sz val="10"/>
      <color rgb="FF800080"/>
      <name val="Calibri"/>
      <charset val="134"/>
    </font>
    <font>
      <sz val="11"/>
      <name val="Calibri"/>
      <charset val="134"/>
    </font>
    <font>
      <u/>
      <sz val="10"/>
      <color theme="10"/>
      <name val="Calibri"/>
      <charset val="134"/>
    </font>
    <font>
      <b/>
      <sz val="14"/>
      <name val="Calibri"/>
      <charset val="134"/>
      <scheme val="minor"/>
    </font>
    <font>
      <b/>
      <sz val="14"/>
      <color theme="1"/>
      <name val="Calibri"/>
      <charset val="134"/>
      <scheme val="minor"/>
    </font>
    <font>
      <b/>
      <sz val="11"/>
      <color theme="1"/>
      <name val="Calibri"/>
      <charset val="134"/>
      <scheme val="minor"/>
    </font>
    <font>
      <b/>
      <sz val="10"/>
      <color rgb="FF7030A0"/>
      <name val="Calibri"/>
      <charset val="134"/>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43">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style="thin">
        <color auto="1"/>
      </bottom>
      <diagonal/>
    </border>
    <border>
      <left style="thin">
        <color auto="1"/>
      </left>
      <right/>
      <top style="medium">
        <color auto="1"/>
      </top>
      <bottom/>
      <diagonal/>
    </border>
    <border>
      <left style="thin">
        <color auto="1"/>
      </left>
      <right/>
      <top/>
      <bottom/>
      <diagonal/>
    </border>
    <border>
      <left style="thin">
        <color auto="1"/>
      </left>
      <right/>
      <top style="thin">
        <color auto="1"/>
      </top>
      <bottom style="medium">
        <color auto="1"/>
      </bottom>
      <diagonal/>
    </border>
    <border>
      <left style="thin">
        <color auto="1"/>
      </left>
      <right/>
      <top/>
      <bottom style="thin">
        <color auto="1"/>
      </bottom>
      <diagonal/>
    </border>
    <border>
      <left style="thin">
        <color auto="1"/>
      </left>
      <right/>
      <top style="medium">
        <color auto="1"/>
      </top>
      <bottom style="medium">
        <color auto="1"/>
      </bottom>
      <diagonal/>
    </border>
  </borders>
  <cellStyleXfs count="2">
    <xf numFmtId="0" fontId="0" fillId="0" borderId="0"/>
    <xf numFmtId="0" fontId="13" fillId="0" borderId="0" applyNumberFormat="0" applyFill="0" applyBorder="0" applyAlignment="0" applyProtection="0"/>
  </cellStyleXfs>
  <cellXfs count="217">
    <xf numFmtId="0" fontId="0" fillId="0" borderId="0" xfId="0"/>
    <xf numFmtId="0" fontId="0" fillId="0" borderId="0" xfId="0" applyAlignment="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4" fillId="0" borderId="6" xfId="0" applyFont="1" applyBorder="1" applyAlignment="1">
      <alignment horizontal="center" vertical="center"/>
    </xf>
    <xf numFmtId="0" fontId="2" fillId="2" borderId="3" xfId="0" applyFont="1" applyFill="1" applyBorder="1" applyAlignment="1">
      <alignment horizontal="center" vertical="center"/>
    </xf>
    <xf numFmtId="0" fontId="3" fillId="0" borderId="7" xfId="0" applyFont="1" applyBorder="1" applyAlignment="1">
      <alignment horizontal="center" vertical="center" wrapText="1"/>
    </xf>
    <xf numFmtId="0" fontId="4" fillId="0" borderId="9" xfId="0" applyFont="1" applyBorder="1" applyAlignment="1">
      <alignment horizontal="center" vertical="center"/>
    </xf>
    <xf numFmtId="0" fontId="5" fillId="0" borderId="9" xfId="0" applyFont="1" applyBorder="1" applyAlignment="1">
      <alignment horizontal="center" vertical="center"/>
    </xf>
    <xf numFmtId="0" fontId="3" fillId="0" borderId="7" xfId="0" applyFont="1" applyBorder="1" applyAlignment="1">
      <alignment horizontal="center" vertical="center"/>
    </xf>
    <xf numFmtId="0" fontId="4" fillId="0" borderId="11" xfId="0" applyFont="1" applyBorder="1" applyAlignment="1">
      <alignment horizontal="center" vertical="center"/>
    </xf>
    <xf numFmtId="0" fontId="6" fillId="0" borderId="5" xfId="0" applyFont="1" applyFill="1" applyBorder="1" applyAlignment="1">
      <alignment horizontal="left" vertical="center"/>
    </xf>
    <xf numFmtId="0" fontId="6" fillId="0" borderId="6" xfId="0" applyFont="1" applyFill="1" applyBorder="1" applyAlignment="1">
      <alignment horizontal="center" vertical="center"/>
    </xf>
    <xf numFmtId="0" fontId="7" fillId="0" borderId="6" xfId="0" applyFont="1" applyFill="1" applyBorder="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horizontal="center" vertical="center"/>
    </xf>
    <xf numFmtId="0" fontId="4" fillId="0" borderId="9" xfId="0" applyFont="1" applyFill="1" applyBorder="1" applyAlignment="1">
      <alignment horizontal="center" vertical="center"/>
    </xf>
    <xf numFmtId="0" fontId="4" fillId="0" borderId="18" xfId="0" applyFont="1" applyBorder="1" applyAlignment="1">
      <alignment horizontal="center" vertical="center"/>
    </xf>
    <xf numFmtId="0" fontId="3" fillId="0" borderId="3" xfId="0" applyFont="1" applyBorder="1" applyAlignment="1">
      <alignment horizontal="center" vertical="center" wrapText="1"/>
    </xf>
    <xf numFmtId="0" fontId="4" fillId="0" borderId="20" xfId="0" applyFont="1" applyBorder="1" applyAlignment="1">
      <alignment horizontal="center" vertical="center"/>
    </xf>
    <xf numFmtId="0" fontId="4" fillId="0" borderId="9" xfId="0" applyFont="1" applyBorder="1" applyAlignment="1">
      <alignment horizontal="center"/>
    </xf>
    <xf numFmtId="0" fontId="5" fillId="0" borderId="14" xfId="0" applyFont="1" applyBorder="1" applyAlignment="1">
      <alignment horizontal="center" vertical="center"/>
    </xf>
    <xf numFmtId="0" fontId="2" fillId="2" borderId="21" xfId="0" applyFont="1" applyFill="1" applyBorder="1" applyAlignment="1">
      <alignment horizontal="center" vertical="center" wrapText="1"/>
    </xf>
    <xf numFmtId="0" fontId="2" fillId="2" borderId="4" xfId="0" applyFont="1" applyFill="1" applyBorder="1" applyAlignment="1">
      <alignment horizontal="center"/>
    </xf>
    <xf numFmtId="0" fontId="8" fillId="0" borderId="6" xfId="1" applyFont="1" applyBorder="1" applyAlignment="1">
      <alignment horizontal="center"/>
    </xf>
    <xf numFmtId="167" fontId="9" fillId="0" borderId="6" xfId="0" applyNumberFormat="1" applyFont="1" applyFill="1" applyBorder="1" applyAlignment="1">
      <alignment horizontal="center" vertical="center"/>
    </xf>
    <xf numFmtId="165" fontId="4" fillId="0" borderId="22" xfId="0" applyNumberFormat="1" applyFont="1" applyBorder="1" applyAlignment="1">
      <alignment horizontal="center" vertical="center"/>
    </xf>
    <xf numFmtId="0" fontId="8" fillId="0" borderId="9" xfId="1" applyFont="1" applyBorder="1" applyAlignment="1">
      <alignment horizontal="center"/>
    </xf>
    <xf numFmtId="167" fontId="9" fillId="0" borderId="9" xfId="0" applyNumberFormat="1" applyFont="1" applyFill="1" applyBorder="1" applyAlignment="1">
      <alignment horizontal="center" vertical="center"/>
    </xf>
    <xf numFmtId="165" fontId="4" fillId="0" borderId="9" xfId="0" applyNumberFormat="1" applyFont="1" applyBorder="1" applyAlignment="1">
      <alignment horizontal="center" vertical="center"/>
    </xf>
    <xf numFmtId="0" fontId="8" fillId="0" borderId="9" xfId="1" applyFont="1" applyBorder="1" applyAlignment="1">
      <alignment horizontal="center" vertical="center"/>
    </xf>
    <xf numFmtId="167" fontId="4" fillId="0" borderId="9" xfId="0" applyNumberFormat="1" applyFont="1" applyBorder="1" applyAlignment="1">
      <alignment horizontal="center" vertical="center"/>
    </xf>
    <xf numFmtId="0" fontId="10" fillId="0" borderId="9" xfId="1" applyFont="1" applyBorder="1" applyAlignment="1">
      <alignment horizontal="center"/>
    </xf>
    <xf numFmtId="0" fontId="4" fillId="0" borderId="23" xfId="0" applyFont="1" applyBorder="1" applyAlignment="1">
      <alignment horizontal="center" vertical="center"/>
    </xf>
    <xf numFmtId="0" fontId="4" fillId="0" borderId="8" xfId="0" applyFont="1" applyBorder="1" applyAlignment="1">
      <alignment horizontal="center" vertical="center"/>
    </xf>
    <xf numFmtId="165" fontId="4" fillId="0" borderId="11" xfId="0" applyNumberFormat="1" applyFont="1" applyBorder="1" applyAlignment="1">
      <alignment horizontal="center" vertical="center"/>
    </xf>
    <xf numFmtId="0" fontId="10" fillId="0" borderId="24" xfId="1" applyFont="1" applyBorder="1" applyAlignment="1">
      <alignment horizontal="center"/>
    </xf>
    <xf numFmtId="165" fontId="4" fillId="0" borderId="25" xfId="0" applyNumberFormat="1" applyFont="1" applyBorder="1" applyAlignment="1">
      <alignment horizontal="center" vertical="center"/>
    </xf>
    <xf numFmtId="0" fontId="11" fillId="0" borderId="6" xfId="1" applyFont="1" applyBorder="1" applyAlignment="1">
      <alignment horizontal="center"/>
    </xf>
    <xf numFmtId="168" fontId="12" fillId="0" borderId="6" xfId="0" applyNumberFormat="1" applyFont="1" applyBorder="1" applyAlignment="1">
      <alignment horizontal="center" vertical="center"/>
    </xf>
    <xf numFmtId="165" fontId="4" fillId="0" borderId="6" xfId="0" applyNumberFormat="1" applyFont="1" applyBorder="1" applyAlignment="1">
      <alignment horizontal="center" vertical="center"/>
    </xf>
    <xf numFmtId="0" fontId="8" fillId="0" borderId="14" xfId="1" applyFont="1" applyBorder="1" applyAlignment="1">
      <alignment horizontal="center"/>
    </xf>
    <xf numFmtId="165" fontId="4" fillId="0" borderId="14" xfId="0" applyNumberFormat="1" applyFont="1" applyBorder="1" applyAlignment="1">
      <alignment horizontal="center" vertical="center"/>
    </xf>
    <xf numFmtId="0" fontId="8" fillId="0" borderId="16" xfId="1" applyFont="1" applyBorder="1" applyAlignment="1">
      <alignment horizontal="center"/>
    </xf>
    <xf numFmtId="165" fontId="4" fillId="0" borderId="16" xfId="0" applyNumberFormat="1" applyFont="1" applyBorder="1" applyAlignment="1">
      <alignment horizontal="center" vertical="center"/>
    </xf>
    <xf numFmtId="0" fontId="4" fillId="0" borderId="0" xfId="0" applyFont="1" applyAlignment="1">
      <alignment horizontal="center" vertical="center"/>
    </xf>
    <xf numFmtId="0" fontId="13" fillId="0" borderId="11" xfId="1" applyBorder="1" applyAlignment="1">
      <alignment horizontal="center"/>
    </xf>
    <xf numFmtId="168" fontId="4" fillId="0" borderId="0" xfId="0" applyNumberFormat="1" applyFont="1" applyAlignment="1">
      <alignment horizontal="center" vertical="center"/>
    </xf>
    <xf numFmtId="0" fontId="8" fillId="0" borderId="18" xfId="1" applyFont="1" applyBorder="1" applyAlignment="1">
      <alignment horizontal="center"/>
    </xf>
    <xf numFmtId="165" fontId="4" fillId="0" borderId="18" xfId="0" applyNumberFormat="1" applyFont="1" applyBorder="1" applyAlignment="1">
      <alignment horizontal="center" vertical="center"/>
    </xf>
    <xf numFmtId="0" fontId="8" fillId="0" borderId="11" xfId="1" applyFont="1" applyBorder="1" applyAlignment="1">
      <alignment horizontal="center"/>
    </xf>
    <xf numFmtId="0" fontId="8" fillId="0" borderId="20" xfId="1" applyFont="1" applyBorder="1" applyAlignment="1">
      <alignment horizontal="center" vertical="center"/>
    </xf>
    <xf numFmtId="165" fontId="4" fillId="0" borderId="20" xfId="0" applyNumberFormat="1" applyFont="1" applyBorder="1" applyAlignment="1">
      <alignment horizontal="center" vertical="center"/>
    </xf>
    <xf numFmtId="0" fontId="8" fillId="0" borderId="6" xfId="1" applyFont="1" applyBorder="1" applyAlignment="1">
      <alignment horizontal="center" vertical="center"/>
    </xf>
    <xf numFmtId="0" fontId="13" fillId="0" borderId="9" xfId="1" applyBorder="1" applyAlignment="1">
      <alignment horizontal="center"/>
    </xf>
    <xf numFmtId="0" fontId="0" fillId="0" borderId="0" xfId="0" applyAlignment="1">
      <alignment horizontal="center" vertical="center"/>
    </xf>
    <xf numFmtId="0" fontId="13" fillId="0" borderId="18" xfId="1" applyBorder="1" applyAlignment="1">
      <alignment horizontal="center" vertical="center"/>
    </xf>
    <xf numFmtId="0" fontId="14" fillId="0" borderId="28" xfId="0" applyFont="1" applyFill="1" applyBorder="1" applyAlignment="1">
      <alignment horizontal="center" vertical="center"/>
    </xf>
    <xf numFmtId="0" fontId="15" fillId="0" borderId="29" xfId="0" applyFont="1" applyFill="1" applyBorder="1" applyAlignment="1">
      <alignment horizontal="center" vertical="center"/>
    </xf>
    <xf numFmtId="0" fontId="15" fillId="0" borderId="2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29" xfId="0" applyFont="1" applyBorder="1" applyAlignment="1"/>
    <xf numFmtId="0" fontId="4" fillId="0" borderId="30" xfId="0" applyFont="1" applyBorder="1" applyAlignment="1"/>
    <xf numFmtId="0" fontId="4" fillId="0" borderId="28" xfId="0" applyFont="1" applyBorder="1" applyAlignment="1"/>
    <xf numFmtId="0" fontId="4" fillId="0" borderId="31" xfId="0" applyFont="1" applyBorder="1" applyAlignment="1"/>
    <xf numFmtId="0" fontId="4" fillId="0" borderId="32" xfId="0" applyFont="1" applyBorder="1" applyAlignment="1"/>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6" fillId="0" borderId="33" xfId="0" applyFont="1" applyFill="1" applyBorder="1" applyAlignment="1">
      <alignment horizontal="center" vertical="center"/>
    </xf>
    <xf numFmtId="0" fontId="17" fillId="0" borderId="29" xfId="0" applyFont="1" applyBorder="1" applyAlignment="1">
      <alignment horizontal="center" vertical="center"/>
    </xf>
    <xf numFmtId="0" fontId="15" fillId="0" borderId="34" xfId="0" applyFont="1" applyFill="1" applyBorder="1" applyAlignment="1">
      <alignment horizontal="center" vertical="center"/>
    </xf>
    <xf numFmtId="0" fontId="5" fillId="0" borderId="9" xfId="0" applyFont="1" applyBorder="1" applyAlignment="1"/>
    <xf numFmtId="0" fontId="18" fillId="0" borderId="3" xfId="0" applyFont="1" applyBorder="1" applyAlignment="1">
      <alignment horizontal="center" vertical="center" wrapText="1"/>
    </xf>
    <xf numFmtId="0" fontId="7" fillId="0" borderId="19" xfId="0" applyFont="1" applyBorder="1" applyAlignment="1">
      <alignment horizontal="left" vertical="center"/>
    </xf>
    <xf numFmtId="0" fontId="0" fillId="0" borderId="20" xfId="0" applyBorder="1" applyAlignment="1">
      <alignment horizontal="center" vertical="center"/>
    </xf>
    <xf numFmtId="0" fontId="18" fillId="0" borderId="3" xfId="0" applyFont="1" applyBorder="1" applyAlignment="1">
      <alignment horizontal="center" vertical="center"/>
    </xf>
    <xf numFmtId="0" fontId="19" fillId="0" borderId="19" xfId="0" applyFont="1" applyBorder="1" applyAlignment="1">
      <alignment horizontal="left" vertical="center"/>
    </xf>
    <xf numFmtId="0" fontId="7" fillId="0" borderId="20" xfId="0" applyFont="1" applyBorder="1" applyAlignment="1">
      <alignment horizontal="center" vertical="center"/>
    </xf>
    <xf numFmtId="0" fontId="19" fillId="0" borderId="20" xfId="0" applyFont="1" applyBorder="1" applyAlignment="1">
      <alignment horizontal="center" vertical="center"/>
    </xf>
    <xf numFmtId="0" fontId="21" fillId="0" borderId="20" xfId="0" applyFont="1" applyBorder="1" applyAlignment="1">
      <alignment horizontal="center" vertical="center"/>
    </xf>
    <xf numFmtId="0" fontId="22" fillId="0" borderId="19" xfId="0" applyFont="1" applyBorder="1" applyAlignment="1">
      <alignment horizontal="left" vertical="center"/>
    </xf>
    <xf numFmtId="0" fontId="2" fillId="2" borderId="35" xfId="0" applyFont="1" applyFill="1" applyBorder="1" applyAlignment="1">
      <alignment horizontal="center" vertical="center" wrapText="1"/>
    </xf>
    <xf numFmtId="0" fontId="23" fillId="0" borderId="3" xfId="0" applyFont="1" applyBorder="1" applyAlignment="1">
      <alignment horizontal="center" vertical="center"/>
    </xf>
    <xf numFmtId="0" fontId="24" fillId="0" borderId="19" xfId="0" applyFont="1" applyBorder="1" applyAlignment="1">
      <alignment horizontal="left" vertical="center"/>
    </xf>
    <xf numFmtId="0" fontId="0" fillId="0" borderId="0" xfId="0"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alignment horizontal="center"/>
    </xf>
    <xf numFmtId="0" fontId="0" fillId="0" borderId="0" xfId="0" applyAlignment="1"/>
    <xf numFmtId="0" fontId="25" fillId="3" borderId="20" xfId="1" applyFont="1" applyFill="1" applyBorder="1" applyAlignment="1">
      <alignment horizontal="center" vertical="center"/>
    </xf>
    <xf numFmtId="168" fontId="4" fillId="0" borderId="20" xfId="0" applyNumberFormat="1" applyFont="1" applyBorder="1" applyAlignment="1">
      <alignment horizontal="center" vertical="center"/>
    </xf>
    <xf numFmtId="0" fontId="26" fillId="3" borderId="20" xfId="0" applyFont="1" applyFill="1" applyBorder="1" applyAlignment="1">
      <alignment horizontal="center" vertical="center"/>
    </xf>
    <xf numFmtId="8" fontId="24" fillId="0" borderId="20" xfId="0" applyNumberFormat="1" applyFont="1" applyBorder="1" applyAlignment="1">
      <alignment horizontal="center" vertical="center"/>
    </xf>
    <xf numFmtId="165" fontId="7" fillId="0" borderId="20" xfId="0" applyNumberFormat="1" applyFont="1" applyBorder="1" applyAlignment="1">
      <alignment horizontal="center" vertical="center"/>
    </xf>
    <xf numFmtId="8" fontId="7" fillId="0" borderId="20" xfId="0" applyNumberFormat="1" applyFont="1" applyBorder="1" applyAlignment="1">
      <alignment horizontal="center" vertical="center"/>
    </xf>
    <xf numFmtId="0" fontId="27" fillId="3" borderId="20" xfId="1" applyFont="1" applyFill="1" applyBorder="1" applyAlignment="1">
      <alignment horizontal="center" vertical="center"/>
    </xf>
    <xf numFmtId="0" fontId="6" fillId="3" borderId="20" xfId="0" applyFont="1" applyFill="1" applyBorder="1" applyAlignment="1">
      <alignment horizontal="center" vertical="center"/>
    </xf>
    <xf numFmtId="169" fontId="24" fillId="0" borderId="20" xfId="0" applyNumberFormat="1" applyFont="1" applyBorder="1" applyAlignment="1">
      <alignment horizontal="center" vertical="center"/>
    </xf>
    <xf numFmtId="167" fontId="29" fillId="0" borderId="0" xfId="0" applyNumberFormat="1" applyFont="1" applyFill="1" applyBorder="1" applyAlignment="1">
      <alignment horizontal="center" vertical="center"/>
    </xf>
    <xf numFmtId="167" fontId="0" fillId="0" borderId="0" xfId="0" applyNumberFormat="1" applyAlignment="1">
      <alignment horizontal="center"/>
    </xf>
    <xf numFmtId="168" fontId="7" fillId="0" borderId="9" xfId="0" applyNumberFormat="1" applyFont="1" applyBorder="1" applyAlignment="1">
      <alignment horizontal="center" vertical="center"/>
    </xf>
    <xf numFmtId="0" fontId="30" fillId="0" borderId="0" xfId="0" applyFont="1" applyAlignment="1">
      <alignment horizontal="center" vertical="center"/>
    </xf>
    <xf numFmtId="0" fontId="15" fillId="0" borderId="31" xfId="0" applyFont="1" applyFill="1" applyBorder="1" applyAlignment="1">
      <alignment horizontal="center" vertical="center"/>
    </xf>
    <xf numFmtId="0" fontId="31" fillId="0" borderId="33" xfId="0" applyFont="1" applyFill="1" applyBorder="1" applyAlignment="1">
      <alignment horizontal="center" vertical="center"/>
    </xf>
    <xf numFmtId="0" fontId="0" fillId="0" borderId="33" xfId="0" applyBorder="1" applyAlignment="1"/>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9" xfId="0" applyFont="1" applyFill="1" applyBorder="1" applyAlignment="1">
      <alignment horizontal="center" vertical="center" wrapText="1"/>
    </xf>
    <xf numFmtId="0" fontId="4" fillId="0" borderId="14" xfId="0" applyFont="1" applyBorder="1" applyAlignment="1">
      <alignment horizontal="center" vertical="center" wrapText="1"/>
    </xf>
    <xf numFmtId="0" fontId="3" fillId="0" borderId="3" xfId="0" applyFont="1" applyBorder="1" applyAlignment="1">
      <alignment horizontal="center" vertical="center"/>
    </xf>
    <xf numFmtId="0" fontId="5" fillId="0" borderId="9" xfId="0" applyFont="1" applyBorder="1" applyAlignment="1">
      <alignment horizontal="center" vertical="center" wrapText="1"/>
    </xf>
    <xf numFmtId="0" fontId="8" fillId="0" borderId="6" xfId="1" applyFont="1" applyBorder="1" applyAlignment="1">
      <alignment horizontal="center" wrapText="1"/>
    </xf>
    <xf numFmtId="167" fontId="9" fillId="0" borderId="6" xfId="0" applyNumberFormat="1" applyFont="1" applyFill="1" applyBorder="1" applyAlignment="1">
      <alignment horizontal="center" vertical="center" wrapText="1"/>
    </xf>
    <xf numFmtId="165" fontId="4" fillId="0" borderId="22" xfId="0" applyNumberFormat="1" applyFont="1" applyBorder="1" applyAlignment="1">
      <alignment horizontal="center" vertical="center" wrapText="1"/>
    </xf>
    <xf numFmtId="165" fontId="4" fillId="0" borderId="9" xfId="0" applyNumberFormat="1" applyFont="1" applyBorder="1" applyAlignment="1">
      <alignment horizontal="center" vertical="center" wrapText="1"/>
    </xf>
    <xf numFmtId="0" fontId="4" fillId="0" borderId="11" xfId="0" applyFont="1" applyBorder="1" applyAlignment="1">
      <alignment horizontal="center" vertical="center" wrapText="1"/>
    </xf>
    <xf numFmtId="0" fontId="4" fillId="0" borderId="8" xfId="0" applyFont="1" applyBorder="1" applyAlignment="1">
      <alignment horizontal="center" vertical="center" wrapText="1"/>
    </xf>
    <xf numFmtId="165" fontId="4" fillId="0" borderId="11"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8" fillId="0" borderId="24" xfId="1" applyFont="1" applyBorder="1" applyAlignment="1">
      <alignment horizontal="center"/>
    </xf>
    <xf numFmtId="165" fontId="4" fillId="0" borderId="6" xfId="0" applyNumberFormat="1" applyFont="1" applyBorder="1" applyAlignment="1">
      <alignment horizontal="center" vertical="center" wrapText="1"/>
    </xf>
    <xf numFmtId="165" fontId="4" fillId="0" borderId="14" xfId="0" applyNumberFormat="1" applyFont="1" applyBorder="1" applyAlignment="1">
      <alignment horizontal="center" vertical="center" wrapText="1"/>
    </xf>
    <xf numFmtId="0" fontId="13" fillId="0" borderId="11" xfId="1" applyBorder="1" applyAlignment="1">
      <alignment horizontal="center" wrapText="1"/>
    </xf>
    <xf numFmtId="0" fontId="8" fillId="0" borderId="14" xfId="1" applyFont="1" applyBorder="1" applyAlignment="1">
      <alignment horizontal="center" wrapText="1"/>
    </xf>
    <xf numFmtId="0" fontId="4" fillId="0" borderId="18"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20" xfId="0" applyFont="1" applyBorder="1" applyAlignment="1">
      <alignment horizontal="center" vertical="center" wrapText="1"/>
    </xf>
    <xf numFmtId="165" fontId="4" fillId="0" borderId="20" xfId="0" applyNumberFormat="1" applyFont="1" applyBorder="1" applyAlignment="1">
      <alignment horizontal="center" vertical="center" wrapText="1"/>
    </xf>
    <xf numFmtId="165" fontId="4" fillId="0" borderId="16" xfId="0" applyNumberFormat="1" applyFont="1" applyBorder="1" applyAlignment="1">
      <alignment horizontal="center" vertical="center" wrapText="1"/>
    </xf>
    <xf numFmtId="0" fontId="8" fillId="0" borderId="9" xfId="1" applyFont="1" applyBorder="1" applyAlignment="1">
      <alignment horizontal="center" vertical="center" wrapText="1"/>
    </xf>
    <xf numFmtId="165" fontId="4" fillId="0" borderId="37" xfId="0" applyNumberFormat="1" applyFont="1" applyBorder="1" applyAlignment="1">
      <alignment horizontal="center" vertical="center" wrapText="1"/>
    </xf>
    <xf numFmtId="165" fontId="4" fillId="0" borderId="38" xfId="0" applyNumberFormat="1" applyFont="1" applyBorder="1" applyAlignment="1">
      <alignment horizontal="center" vertical="center" wrapText="1"/>
    </xf>
    <xf numFmtId="0" fontId="14" fillId="0" borderId="28" xfId="0" applyFont="1" applyFill="1" applyBorder="1" applyAlignment="1">
      <alignment horizontal="center" vertical="center" wrapText="1"/>
    </xf>
    <xf numFmtId="165" fontId="4" fillId="0" borderId="23" xfId="0" applyNumberFormat="1" applyFont="1" applyBorder="1" applyAlignment="1">
      <alignment horizontal="center" vertical="center" wrapText="1"/>
    </xf>
    <xf numFmtId="0" fontId="0" fillId="0" borderId="0" xfId="0" applyFont="1"/>
    <xf numFmtId="165" fontId="4" fillId="0" borderId="23" xfId="0" applyNumberFormat="1" applyFont="1" applyBorder="1" applyAlignment="1">
      <alignment horizontal="center" vertical="center"/>
    </xf>
    <xf numFmtId="0" fontId="0" fillId="0" borderId="0" xfId="0" applyFont="1" applyAlignment="1"/>
    <xf numFmtId="0" fontId="4" fillId="0" borderId="29" xfId="0" applyFont="1" applyBorder="1"/>
    <xf numFmtId="165" fontId="4" fillId="0" borderId="24" xfId="0" applyNumberFormat="1" applyFont="1" applyBorder="1" applyAlignment="1">
      <alignment horizontal="center" vertical="center" wrapText="1"/>
    </xf>
    <xf numFmtId="0" fontId="4" fillId="0" borderId="30" xfId="0" applyFont="1" applyBorder="1"/>
    <xf numFmtId="0" fontId="4" fillId="0" borderId="28" xfId="0" applyFont="1" applyBorder="1"/>
    <xf numFmtId="0" fontId="4" fillId="0" borderId="31" xfId="0" applyFont="1" applyBorder="1"/>
    <xf numFmtId="165" fontId="4" fillId="0" borderId="39" xfId="0" applyNumberFormat="1" applyFont="1" applyBorder="1" applyAlignment="1">
      <alignment horizontal="center" vertical="center"/>
    </xf>
    <xf numFmtId="165" fontId="4" fillId="0" borderId="40" xfId="0" applyNumberFormat="1" applyFont="1" applyBorder="1" applyAlignment="1">
      <alignment horizontal="center" vertical="center" wrapText="1"/>
    </xf>
    <xf numFmtId="165" fontId="4" fillId="0" borderId="41" xfId="0" applyNumberFormat="1" applyFont="1" applyBorder="1" applyAlignment="1">
      <alignment horizontal="center" vertical="center" wrapText="1"/>
    </xf>
    <xf numFmtId="165" fontId="4" fillId="0" borderId="42" xfId="0" applyNumberFormat="1" applyFont="1" applyBorder="1" applyAlignment="1">
      <alignment horizontal="center" vertical="center" wrapText="1"/>
    </xf>
    <xf numFmtId="165" fontId="4" fillId="0" borderId="39" xfId="0" applyNumberFormat="1" applyFont="1" applyBorder="1" applyAlignment="1">
      <alignment horizontal="center" vertical="center" wrapText="1"/>
    </xf>
    <xf numFmtId="0" fontId="4" fillId="0" borderId="32" xfId="0" applyFont="1" applyBorder="1"/>
    <xf numFmtId="0" fontId="5" fillId="0" borderId="9" xfId="0" applyFont="1" applyBorder="1"/>
    <xf numFmtId="0" fontId="5" fillId="0" borderId="14" xfId="0" applyFont="1" applyBorder="1" applyAlignment="1">
      <alignment horizontal="center" vertical="center" wrapText="1"/>
    </xf>
    <xf numFmtId="0" fontId="25" fillId="0" borderId="20" xfId="1" applyFont="1" applyBorder="1" applyAlignment="1">
      <alignment horizontal="center" vertical="center"/>
    </xf>
    <xf numFmtId="167" fontId="0" fillId="0" borderId="0" xfId="0" applyNumberFormat="1"/>
    <xf numFmtId="167" fontId="4" fillId="0" borderId="0" xfId="0" applyNumberFormat="1" applyFont="1" applyFill="1" applyBorder="1" applyAlignment="1">
      <alignment horizontal="center" vertical="center"/>
    </xf>
    <xf numFmtId="0" fontId="4" fillId="0" borderId="5" xfId="0" quotePrefix="1" applyFont="1" applyBorder="1" applyAlignment="1">
      <alignment vertical="center"/>
    </xf>
    <xf numFmtId="0" fontId="4" fillId="0" borderId="6" xfId="0" quotePrefix="1" applyFont="1" applyBorder="1" applyAlignment="1">
      <alignment horizontal="center" vertical="center"/>
    </xf>
    <xf numFmtId="0" fontId="4" fillId="0" borderId="6" xfId="0" quotePrefix="1" applyFont="1" applyBorder="1" applyAlignment="1">
      <alignment horizontal="center" vertical="center" wrapText="1"/>
    </xf>
    <xf numFmtId="0" fontId="4" fillId="0" borderId="8" xfId="0" quotePrefix="1" applyFont="1" applyBorder="1" applyAlignment="1">
      <alignment vertical="center"/>
    </xf>
    <xf numFmtId="0" fontId="4" fillId="0" borderId="9" xfId="0" quotePrefix="1" applyFont="1" applyBorder="1" applyAlignment="1">
      <alignment horizontal="center" vertical="center"/>
    </xf>
    <xf numFmtId="0" fontId="5" fillId="0" borderId="9" xfId="0" quotePrefix="1" applyFont="1" applyBorder="1" applyAlignment="1">
      <alignment horizontal="center" vertical="center"/>
    </xf>
    <xf numFmtId="0" fontId="4" fillId="0" borderId="9" xfId="0" quotePrefix="1" applyFont="1" applyBorder="1" applyAlignment="1">
      <alignment horizontal="center" vertical="center" wrapText="1"/>
    </xf>
    <xf numFmtId="0" fontId="0" fillId="0" borderId="9" xfId="0" quotePrefix="1" applyFill="1" applyBorder="1" applyAlignment="1">
      <alignment vertical="center" wrapText="1"/>
    </xf>
    <xf numFmtId="0" fontId="8" fillId="0" borderId="9" xfId="1" quotePrefix="1" applyFont="1" applyBorder="1" applyAlignment="1">
      <alignment horizontal="center"/>
    </xf>
    <xf numFmtId="0" fontId="4" fillId="0" borderId="8" xfId="0" quotePrefix="1" applyFont="1" applyBorder="1" applyAlignment="1">
      <alignment vertical="center" wrapText="1"/>
    </xf>
    <xf numFmtId="0" fontId="4" fillId="0" borderId="10" xfId="0" quotePrefix="1" applyFont="1" applyBorder="1" applyAlignment="1">
      <alignment vertical="center"/>
    </xf>
    <xf numFmtId="0" fontId="4" fillId="0" borderId="11" xfId="0" quotePrefix="1" applyFont="1" applyBorder="1" applyAlignment="1">
      <alignment horizontal="center" vertical="center"/>
    </xf>
    <xf numFmtId="0" fontId="7" fillId="0" borderId="6" xfId="0" quotePrefix="1" applyFont="1" applyFill="1" applyBorder="1" applyAlignment="1">
      <alignment horizontal="center" vertical="center"/>
    </xf>
    <xf numFmtId="0" fontId="4" fillId="0" borderId="13" xfId="0" quotePrefix="1" applyFont="1" applyBorder="1" applyAlignment="1">
      <alignment vertical="center"/>
    </xf>
    <xf numFmtId="0" fontId="4" fillId="0" borderId="14" xfId="0" quotePrefix="1" applyFont="1" applyBorder="1" applyAlignment="1">
      <alignment horizontal="center" vertical="center"/>
    </xf>
    <xf numFmtId="0" fontId="4" fillId="0" borderId="15" xfId="0" quotePrefix="1" applyFont="1" applyBorder="1" applyAlignment="1">
      <alignment vertical="center"/>
    </xf>
    <xf numFmtId="0" fontId="4" fillId="0" borderId="16" xfId="0" quotePrefix="1" applyFont="1" applyBorder="1" applyAlignment="1">
      <alignment horizontal="center" vertical="center"/>
    </xf>
    <xf numFmtId="0" fontId="5" fillId="0" borderId="16" xfId="0" quotePrefix="1" applyFont="1" applyBorder="1" applyAlignment="1">
      <alignment horizontal="center" vertical="center"/>
    </xf>
    <xf numFmtId="0" fontId="4" fillId="0" borderId="18" xfId="0" quotePrefix="1" applyFont="1" applyBorder="1" applyAlignment="1">
      <alignment horizontal="center" vertical="center"/>
    </xf>
    <xf numFmtId="0" fontId="4" fillId="0" borderId="9" xfId="0" quotePrefix="1" applyFont="1" applyFill="1" applyBorder="1" applyAlignment="1">
      <alignment horizontal="left" vertical="center" wrapText="1"/>
    </xf>
    <xf numFmtId="0" fontId="4" fillId="0" borderId="9" xfId="0" quotePrefix="1" applyFont="1" applyFill="1" applyBorder="1" applyAlignment="1">
      <alignment horizontal="center" vertical="center" wrapText="1"/>
    </xf>
    <xf numFmtId="0" fontId="4" fillId="0" borderId="26" xfId="0" quotePrefix="1" applyFont="1" applyBorder="1" applyAlignment="1">
      <alignment horizontal="center" vertical="center"/>
    </xf>
    <xf numFmtId="0" fontId="4" fillId="0" borderId="17" xfId="0" quotePrefix="1" applyFont="1" applyBorder="1" applyAlignment="1">
      <alignment vertical="center" wrapText="1"/>
    </xf>
    <xf numFmtId="0" fontId="5" fillId="0" borderId="18" xfId="0" quotePrefix="1" applyFont="1" applyBorder="1" applyAlignment="1">
      <alignment horizontal="center" vertical="center"/>
    </xf>
    <xf numFmtId="0" fontId="4" fillId="0" borderId="19" xfId="0" quotePrefix="1" applyFont="1" applyBorder="1" applyAlignment="1">
      <alignment vertical="center" wrapText="1"/>
    </xf>
    <xf numFmtId="0" fontId="4" fillId="0" borderId="20" xfId="0" quotePrefix="1" applyFont="1" applyBorder="1" applyAlignment="1">
      <alignment horizontal="center" vertical="center"/>
    </xf>
    <xf numFmtId="0" fontId="5" fillId="0" borderId="20" xfId="0" quotePrefix="1" applyFont="1" applyBorder="1" applyAlignment="1">
      <alignment horizontal="center" vertical="center" wrapText="1"/>
    </xf>
    <xf numFmtId="0" fontId="4" fillId="0" borderId="5" xfId="0" quotePrefix="1" applyFont="1" applyBorder="1" applyAlignment="1">
      <alignment horizontal="left" vertical="center"/>
    </xf>
    <xf numFmtId="0" fontId="5" fillId="0" borderId="6" xfId="0" quotePrefix="1" applyFont="1" applyBorder="1" applyAlignment="1">
      <alignment horizontal="center" vertical="center"/>
    </xf>
    <xf numFmtId="0" fontId="5" fillId="0" borderId="9" xfId="0" quotePrefix="1" applyFont="1" applyFill="1" applyBorder="1" applyAlignment="1">
      <alignment horizontal="center" vertical="center" wrapText="1"/>
    </xf>
    <xf numFmtId="0" fontId="5" fillId="0" borderId="14" xfId="0" quotePrefix="1" applyFont="1" applyBorder="1" applyAlignment="1">
      <alignment horizontal="center" vertical="center"/>
    </xf>
    <xf numFmtId="0" fontId="5" fillId="0" borderId="9" xfId="0" quotePrefix="1" applyFont="1" applyBorder="1" applyAlignment="1">
      <alignment horizontal="center" vertical="center" wrapText="1"/>
    </xf>
    <xf numFmtId="0" fontId="5" fillId="0" borderId="8" xfId="0" quotePrefix="1" applyFont="1" applyBorder="1" applyAlignment="1">
      <alignment vertical="center"/>
    </xf>
    <xf numFmtId="0" fontId="5" fillId="0" borderId="13" xfId="0" quotePrefix="1" applyFont="1" applyBorder="1" applyAlignment="1">
      <alignment vertical="center"/>
    </xf>
    <xf numFmtId="0" fontId="5" fillId="0" borderId="9" xfId="0" quotePrefix="1" applyFont="1" applyFill="1" applyBorder="1" applyAlignment="1">
      <alignment horizontal="center" vertical="center" wrapText="1"/>
    </xf>
    <xf numFmtId="0" fontId="7" fillId="0" borderId="19" xfId="0" quotePrefix="1" applyFont="1" applyBorder="1" applyAlignment="1">
      <alignment horizontal="left" vertical="center"/>
    </xf>
    <xf numFmtId="0" fontId="0" fillId="0" borderId="20" xfId="0" quotePrefix="1" applyBorder="1" applyAlignment="1">
      <alignment horizontal="center" vertical="center"/>
    </xf>
    <xf numFmtId="0" fontId="0" fillId="0" borderId="9" xfId="0" quotePrefix="1" applyFill="1" applyBorder="1" applyAlignment="1">
      <alignment horizontal="center" vertical="center" wrapText="1"/>
    </xf>
    <xf numFmtId="0" fontId="4" fillId="0" borderId="9" xfId="0" quotePrefix="1" applyFont="1" applyFill="1" applyBorder="1" applyAlignment="1">
      <alignment horizontal="left" vertical="center"/>
    </xf>
    <xf numFmtId="0" fontId="4" fillId="0" borderId="9" xfId="0" quotePrefix="1" applyFont="1" applyFill="1" applyBorder="1" applyAlignment="1">
      <alignment horizontal="center" vertical="center"/>
    </xf>
    <xf numFmtId="0" fontId="4" fillId="0" borderId="17" xfId="0" quotePrefix="1" applyFont="1" applyBorder="1" applyAlignment="1">
      <alignment vertical="center"/>
    </xf>
    <xf numFmtId="0" fontId="4" fillId="0" borderId="19" xfId="0" quotePrefix="1" applyFont="1" applyBorder="1" applyAlignment="1">
      <alignment vertical="center"/>
    </xf>
    <xf numFmtId="0" fontId="5" fillId="0" borderId="20" xfId="0" quotePrefix="1" applyFont="1" applyBorder="1" applyAlignment="1">
      <alignment horizontal="center" vertical="center"/>
    </xf>
    <xf numFmtId="0" fontId="5" fillId="0" borderId="9" xfId="0" quotePrefix="1" applyFont="1" applyFill="1" applyBorder="1" applyAlignment="1">
      <alignment horizontal="center" vertical="center"/>
    </xf>
    <xf numFmtId="0" fontId="4" fillId="0" borderId="8" xfId="0" quotePrefix="1" applyFont="1" applyFill="1" applyBorder="1" applyAlignment="1">
      <alignment horizontal="left" vertical="center"/>
    </xf>
    <xf numFmtId="0" fontId="20" fillId="0" borderId="20" xfId="0" quotePrefix="1" applyFont="1" applyBorder="1" applyAlignment="1">
      <alignment horizontal="center" vertical="center"/>
    </xf>
    <xf numFmtId="0" fontId="7" fillId="0" borderId="20" xfId="0" quotePrefix="1" applyFont="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7" xfId="0" applyFont="1" applyFill="1" applyBorder="1" applyAlignment="1">
      <alignment horizontal="center" vertical="center"/>
    </xf>
    <xf numFmtId="0" fontId="28" fillId="3" borderId="36" xfId="0" applyFont="1" applyFill="1" applyBorder="1" applyAlignment="1">
      <alignment horizontal="center" wrapText="1"/>
    </xf>
    <xf numFmtId="0" fontId="28" fillId="3" borderId="2" xfId="0" applyFont="1" applyFill="1" applyBorder="1" applyAlignment="1">
      <alignment horizont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3" fillId="0" borderId="7" xfId="0" applyFont="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28" fillId="3" borderId="36" xfId="0" applyFont="1" applyFill="1" applyBorder="1" applyAlignment="1">
      <alignment horizontal="center"/>
    </xf>
    <xf numFmtId="0" fontId="28" fillId="3" borderId="2" xfId="0" applyFont="1" applyFill="1" applyBorder="1" applyAlignment="1">
      <alignment horizontal="center"/>
    </xf>
    <xf numFmtId="0" fontId="3" fillId="0" borderId="1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digikey.com/en/products/detail/yageo/CC0402JRNPO9BN221/2833581?s=N4IgTCBcDaIMJwAwBZFgFICUByAFA8gJwBC2YYAjCALoC%2BQA" TargetMode="External"/><Relationship Id="rId18" Type="http://schemas.openxmlformats.org/officeDocument/2006/relationships/hyperlink" Target="https://www.digikey.com/en/products/detail/yageo/RC0402JR-0720KL/2827648?s=N4IgTCBcDaIEoGEAMAWJYBScC0SDsYSA0gDIgC6AvkA" TargetMode="External"/><Relationship Id="rId26" Type="http://schemas.openxmlformats.org/officeDocument/2006/relationships/hyperlink" Target="https://www.digikey.com/en/products/detail/yageo/RC0402JR-071KL/729355" TargetMode="External"/><Relationship Id="rId39" Type="http://schemas.openxmlformats.org/officeDocument/2006/relationships/hyperlink" Target="https://www.digikey.com/en/products/detail/nexperia-usa-inc/PMV65XP-215/949643" TargetMode="External"/><Relationship Id="rId21" Type="http://schemas.openxmlformats.org/officeDocument/2006/relationships/hyperlink" Target="https://www.digikey.com/en/products/detail/rohm-semiconductor/ESR01MZPJ103/4053677" TargetMode="External"/><Relationship Id="rId34" Type="http://schemas.openxmlformats.org/officeDocument/2006/relationships/hyperlink" Target="https://www.digikey.com/en/products/detail/stackpole-electronics-inc/RMCF0402JT470R/1712461" TargetMode="External"/><Relationship Id="rId42" Type="http://schemas.openxmlformats.org/officeDocument/2006/relationships/hyperlink" Target="https://www.digikey.com/en/products/detail/ndk-america-inc/NX3215SA-32-768K-STD-MUA-8/2261469?s=N4IgTCBcDaIHIA0DMYCMBWAygQQLQoDoB2ANgA4BpXTAFQBFcBZAVTzJAF0BfIA" TargetMode="External"/><Relationship Id="rId47" Type="http://schemas.openxmlformats.org/officeDocument/2006/relationships/hyperlink" Target="https://www.digikey.com/en/products/detail/chilisin-electronics/BMRA00040420100MA1/12141016?s=N4IgjCBcoCwGxVAYygMwIYBsDOBTANCAPZQDaIMArAMwAcA7DCALqEAOALlCAMocBOASwB2AcxABfQmACctGYhApIGHAWJkQABhbsukXgJHipIAExaGiztwCqwwRwDyqALK502AK79cIQl7cAK0AEv4gALYi3GA6hBHoAB4xOqYWtLTW%2BiD2ji7unj5%2BAdwAguFRwjEAdAjxSTUIpgC0lIrKqniEJJDkZiwSaZoAksIAJl5IHET8A0A" TargetMode="External"/><Relationship Id="rId50" Type="http://schemas.openxmlformats.org/officeDocument/2006/relationships/hyperlink" Target="https://www.digikey.com/en/products/detail/texas-instruments/DRV8876PWPR/10270191?s=N4IgTCBcDaICICUBqAOFB2AbABQOrYRAF0BfIA" TargetMode="External"/><Relationship Id="rId55" Type="http://schemas.openxmlformats.org/officeDocument/2006/relationships/hyperlink" Target="https://www.digikey.com/en/products/detail/weidm%C3%BCller/1715260000/269760" TargetMode="External"/><Relationship Id="rId63" Type="http://schemas.openxmlformats.org/officeDocument/2006/relationships/hyperlink" Target="https://www.digikey.com/en/products/detail/sullins-connector-solutions/PPTC051LFBN-RC/807239" TargetMode="External"/><Relationship Id="rId7" Type="http://schemas.openxmlformats.org/officeDocument/2006/relationships/hyperlink" Target="https://www.digikey.com/en/products/detail/tdk-corporation/CGA3E2X7R2A223K080AA/2443292?s=N4IgTCBcDaIMIHECCBmAomAGgdgEpiTDBQGkAGADjKSRAF0BfIA" TargetMode="External"/><Relationship Id="rId2" Type="http://schemas.openxmlformats.org/officeDocument/2006/relationships/hyperlink" Target="https://www.digikey.com/en/products/detail/yageo/CC0402KRX7R7BB104/2103076?s=N4IgTCBcDaIMJwAwBZFgNICUAaB2TuAQoQIwogC6AvkA" TargetMode="External"/><Relationship Id="rId16" Type="http://schemas.openxmlformats.org/officeDocument/2006/relationships/hyperlink" Target="https://www.digikey.com/en/products/detail/omron-electronics-inc-emc-div/B3U-1000P/1534338" TargetMode="External"/><Relationship Id="rId29" Type="http://schemas.openxmlformats.org/officeDocument/2006/relationships/hyperlink" Target="https://www.digikey.com/en/products/detail/stmicroelectronics/LM393DT/591695" TargetMode="External"/><Relationship Id="rId11" Type="http://schemas.openxmlformats.org/officeDocument/2006/relationships/hyperlink" Target="https://www.digikey.com/en/products/detail/taiyo-yuden/EMK105ABJ225KV-F/7403764?s=N4IgTCBcDaIKIFkDSBGADAVgIICEBSYYGSAagLQBiIAugL5A" TargetMode="External"/><Relationship Id="rId24" Type="http://schemas.openxmlformats.org/officeDocument/2006/relationships/hyperlink" Target="https://www.digikey.com/en/products/detail/yageo/RC0402FR-070RL/2827888" TargetMode="External"/><Relationship Id="rId32" Type="http://schemas.openxmlformats.org/officeDocument/2006/relationships/hyperlink" Target="https://www.digikey.com/en/products/detail/texas-instruments/LMR62014XMFE-NOPB/2754196" TargetMode="External"/><Relationship Id="rId37" Type="http://schemas.openxmlformats.org/officeDocument/2006/relationships/hyperlink" Target="https://www.digikey.com/en/products/detail/vishay-semiconductor-opto-division/VLMS1500-GS08/3504681" TargetMode="External"/><Relationship Id="rId40" Type="http://schemas.openxmlformats.org/officeDocument/2006/relationships/hyperlink" Target="https://www.digikey.com/en/products/detail/diodes-incorporated/ZVN3310FTA/92648?s=N4IgTCBcDaIFoDUByBmFBGADAMQCoEEQBdAXyA" TargetMode="External"/><Relationship Id="rId45" Type="http://schemas.openxmlformats.org/officeDocument/2006/relationships/hyperlink" Target="https://www.digikey.com/en/products/detail/rubycon/25SEV10M4X5-5/3568461" TargetMode="External"/><Relationship Id="rId53" Type="http://schemas.openxmlformats.org/officeDocument/2006/relationships/hyperlink" Target="https://www.digikey.com/en/products/detail/adam-tech/MCR-B-S-RA-SMT-CS5A-NF-T-R/9832094" TargetMode="External"/><Relationship Id="rId58" Type="http://schemas.openxmlformats.org/officeDocument/2006/relationships/hyperlink" Target="https://www.questcomp.com/part/rb060m-30tr/rohm-co-ltd/332009458/1620554" TargetMode="External"/><Relationship Id="rId5" Type="http://schemas.openxmlformats.org/officeDocument/2006/relationships/hyperlink" Target="https://www.digikey.com/en/products/detail/yageo/CC0603JRNPO9BN250/5883609?s=N4IgTCBcDaIMJwAwDZEGYBSAlAcgBQHkBOAIRzAFZEQBdAXyA" TargetMode="External"/><Relationship Id="rId61" Type="http://schemas.openxmlformats.org/officeDocument/2006/relationships/hyperlink" Target="https://www.digikey.com/en/products/detail/yageo/RC0603FR-074K7L/727212?s=N4IgTCBcDaIEoGEAMA2JBmAYnAtEg7ACwDS%2BAMiALoC%2BQA" TargetMode="External"/><Relationship Id="rId19" Type="http://schemas.openxmlformats.org/officeDocument/2006/relationships/hyperlink" Target="https://www.digikey.com/en/products/detail/yageo/RC0402FR-072KL/2827565?s=N4IgTCBcDaIEoGEAMAWJYBicC0SDsYA0gDIgC6AvkA" TargetMode="External"/><Relationship Id="rId14" Type="http://schemas.openxmlformats.org/officeDocument/2006/relationships/hyperlink" Target="https://eu.mouser.com/ProductDetail/Nexperia/PMEG3010ER115?qs=LMSg3oBIm%2FjofezKw7ztsw%3D%3D" TargetMode="External"/><Relationship Id="rId22" Type="http://schemas.openxmlformats.org/officeDocument/2006/relationships/hyperlink" Target="https://eu.mouser.com/ProductDetail/YAGEO/RC0402FR-07133KL?qs=UOUeRUa%252B8WmCOdu%2F2H3z4Q%3D%3D" TargetMode="External"/><Relationship Id="rId27" Type="http://schemas.openxmlformats.org/officeDocument/2006/relationships/hyperlink" Target="https://www.digikey.com/en/products/detail/yageo/AC0402FR-07118KL/5895039?s=N4IgTCBcDaIIIGEAMAWJYBiAlAtEg7AIyEAcA0gDIgC6AvkA" TargetMode="External"/><Relationship Id="rId30" Type="http://schemas.openxmlformats.org/officeDocument/2006/relationships/hyperlink" Target="https://www.arrow.com/en/products/lm4890mxnopb/texas-instruments?utm_campaign=octopart_2020&amp;utm_currency=USD&amp;utm_keyword=LM4890MX%2FNOPB&amp;utm_medium=aggregator&amp;utm_content=inv_listing&amp;region=nac&amp;utm_source=octopart" TargetMode="External"/><Relationship Id="rId35" Type="http://schemas.openxmlformats.org/officeDocument/2006/relationships/hyperlink" Target="https://www.digikey.com/en/products/detail/ohmite/KDV08FR068ET/10476504" TargetMode="External"/><Relationship Id="rId43" Type="http://schemas.openxmlformats.org/officeDocument/2006/relationships/hyperlink" Target="https://www.digikey.com/en/products/detail/maxlinear-inc/SPX3940AM3-L-3-3-TR/2472424?s=N4IgTCBcDaIMoAUAaBmAnAFgAwEECyKAtADKFEoD0AKgEogC6AvkA" TargetMode="External"/><Relationship Id="rId48" Type="http://schemas.openxmlformats.org/officeDocument/2006/relationships/hyperlink" Target="https://eu.mouser.com/ProductDetail/Littelfuse/SP3014-02UTG?qs=F8HfwHd0zjdqZPOszBglrg%3D%3D" TargetMode="External"/><Relationship Id="rId56" Type="http://schemas.openxmlformats.org/officeDocument/2006/relationships/hyperlink" Target="https://www.digikey.com/en/products/detail/phoenix-contact/1711725/260395" TargetMode="External"/><Relationship Id="rId64" Type="http://schemas.openxmlformats.org/officeDocument/2006/relationships/hyperlink" Target="https://www.digikey.com/en/products/detail/diodes-incorporated/BSS8402DW-7-F/815002?s=N4IgTCBcDaIEIGUEA4AsAGMARA6gWgHY8AxEAXQF8g" TargetMode="External"/><Relationship Id="rId8" Type="http://schemas.openxmlformats.org/officeDocument/2006/relationships/hyperlink" Target="https://eu.mouser.com/ProductDetail/Kyocera-AVX/TAJB475K035RNJ?qs=mgX5NEyWO4TjTiyDuj3Okg%3D%3D" TargetMode="External"/><Relationship Id="rId51" Type="http://schemas.openxmlformats.org/officeDocument/2006/relationships/hyperlink" Target="https://www.digikey.com/en/products/detail/microchip-technology/MCP7940N-I-SN/2651354?s=N4IgTCBcDaILIGEAKB2AnAFgAwDkC0AkgPQDKOIAugL5A" TargetMode="External"/><Relationship Id="rId3" Type="http://schemas.openxmlformats.org/officeDocument/2006/relationships/hyperlink" Target="https://www.digikey.com/en/products/detail/murata-electronics/GRM21BR61E226ME44L/4905535?s=N4IgTCBcDaIOICUCyYCMAhBA2VBRMYWSuALCQDIgC6AvkA" TargetMode="External"/><Relationship Id="rId12" Type="http://schemas.openxmlformats.org/officeDocument/2006/relationships/hyperlink" Target="https://www.digikey.com/en/products/detail/rohm-semiconductor/TCTU1D334M8R/4340359?s=N4IgTCBcDaICoGE4FUCMARAzJgLAWQA4AlEAXQF8g" TargetMode="External"/><Relationship Id="rId17" Type="http://schemas.openxmlformats.org/officeDocument/2006/relationships/hyperlink" Target="https://www.digikey.com/en/products/detail/stackpole-electronics-inc/RMCF0201FT1K50/1761885?s=N4IgTCBcDaIEoFkDCAxADGNBGFAVLA0gKxogC6AvkA" TargetMode="External"/><Relationship Id="rId25" Type="http://schemas.openxmlformats.org/officeDocument/2006/relationships/hyperlink" Target="https://www.digikey.com/en/products/detail/yageo/RC0402FR-0747KL/726616?s=N4IgTCBcDaIEoGEAMAWJYBicC0SDsKeA0gDIgC6AvkA" TargetMode="External"/><Relationship Id="rId33" Type="http://schemas.openxmlformats.org/officeDocument/2006/relationships/hyperlink" Target="https://www.digikey.com/en/products/detail/amphenol-icc-fci/20021121-00010C4LF/2209057?s=N4IgTCBcDa4AxzARicgtAuS4GEAsAMgGIgC6AvkA" TargetMode="External"/><Relationship Id="rId38" Type="http://schemas.openxmlformats.org/officeDocument/2006/relationships/hyperlink" Target="https://www.digikey.com/en/products/detail/onsemi/FDN338P/458848" TargetMode="External"/><Relationship Id="rId46" Type="http://schemas.openxmlformats.org/officeDocument/2006/relationships/hyperlink" Target="https://www.digikey.com/en/products/detail/nkk-switches/MS12ASG30/1058151" TargetMode="External"/><Relationship Id="rId59" Type="http://schemas.openxmlformats.org/officeDocument/2006/relationships/hyperlink" Target="https://www.nbleisonmotor.com/LS-SG555-37MM-Dc-Gear-Motor-pd6046204.html" TargetMode="External"/><Relationship Id="rId20" Type="http://schemas.openxmlformats.org/officeDocument/2006/relationships/hyperlink" Target="https://www.digikey.com/en/products/detail/yageo/AC0402FR-0730K9L/5895275?s=N4IgTCBcDaIIIGEAMAWJYBiAlAtEg7AMxIDSAnADIgC6AvkA" TargetMode="External"/><Relationship Id="rId41" Type="http://schemas.openxmlformats.org/officeDocument/2006/relationships/hyperlink" Target="https://www.digikey.com/en/products/detail/onsemi/FDN335N/965301?s=N4IgTCBcDaIGIBEByBmFBWJIC6BfIA" TargetMode="External"/><Relationship Id="rId54" Type="http://schemas.openxmlformats.org/officeDocument/2006/relationships/hyperlink" Target="https://www.digikey.com/en/products/detail/premium-batteries/CH25/13896129" TargetMode="External"/><Relationship Id="rId62" Type="http://schemas.openxmlformats.org/officeDocument/2006/relationships/hyperlink" Target="https://www.digikey.com/en/products/detail/vishay-dale/CRCW060310K5FKEAC/7924527" TargetMode="External"/><Relationship Id="rId1" Type="http://schemas.openxmlformats.org/officeDocument/2006/relationships/hyperlink" Target="https://www.digikey.com/en/products/detail/panasonic-electronic-components/EEE-HB1E6R8R/817513?s=N4IgTCBcDaIKIIBICECMcBsAlAHFkAugL5A" TargetMode="External"/><Relationship Id="rId6" Type="http://schemas.openxmlformats.org/officeDocument/2006/relationships/hyperlink" Target="https://www.digikey.com/en/products/detail/yageo/CC0201JRNPO8BN200/5883132" TargetMode="External"/><Relationship Id="rId15" Type="http://schemas.openxmlformats.org/officeDocument/2006/relationships/hyperlink" Target="https://www.digikey.com/en/products/detail/onsemi/NZT660A/1050764?s=N4IgTCBcDaIHIC0AqA2FAGAgiAugXyA" TargetMode="External"/><Relationship Id="rId23" Type="http://schemas.openxmlformats.org/officeDocument/2006/relationships/hyperlink" Target="https://www.digikey.com/en/products/detail/stackpole-electronics-inc/RMCF0402FT49K9/1942927" TargetMode="External"/><Relationship Id="rId28" Type="http://schemas.openxmlformats.org/officeDocument/2006/relationships/hyperlink" Target="https://www.digikey.com/en/products/detail/yageo/RC0402FR-0713K3L/5280834?s=N4IgTCBcDaIEoGEAMAWJYBicC0SDsAjAMwDSRAMiALoC%2BQA" TargetMode="External"/><Relationship Id="rId36" Type="http://schemas.openxmlformats.org/officeDocument/2006/relationships/hyperlink" Target="https://www.digikey.com/en/products/detail/stackpole-electronics-inc/RMCF0402JT1M00/1758203" TargetMode="External"/><Relationship Id="rId49" Type="http://schemas.openxmlformats.org/officeDocument/2006/relationships/hyperlink" Target="https://www.digikey.com/en/products/detail/ATSAMD21G18A-AUT/ATSAMD21G18A-AUTDKR-ND/4878891?utm_campaign=buynow&amp;utm_medium=aggregator&amp;curr=usd&amp;utm_source=octopart" TargetMode="External"/><Relationship Id="rId57" Type="http://schemas.openxmlformats.org/officeDocument/2006/relationships/hyperlink" Target="https://www.digikey.com/en/products/detail/jst-sales-america-inc/B2B-XH-A-LF-SN/1651045" TargetMode="External"/><Relationship Id="rId10" Type="http://schemas.openxmlformats.org/officeDocument/2006/relationships/hyperlink" Target="https://www.digikey.com/en/products/detail/samsung-electro-mechanics/CL10A475KA8NQNC/3887558?s=N4IgTCBcDaIMIBkCMAGAggFgOwFYDSaAHAHICKxcIAugL5A" TargetMode="External"/><Relationship Id="rId31" Type="http://schemas.openxmlformats.org/officeDocument/2006/relationships/hyperlink" Target="https://www.digikey.com/en/products/detail/texas-instruments/BQ2057WSNTR/1690104" TargetMode="External"/><Relationship Id="rId44" Type="http://schemas.openxmlformats.org/officeDocument/2006/relationships/hyperlink" Target="https://www.digikey.com/en/products/detail/diodes-incorporated/TLV431BFTA/1952619?s=N4IgTCBcDaICoBkBqAWAzARgEIDE4EEQBdAXyA" TargetMode="External"/><Relationship Id="rId52" Type="http://schemas.openxmlformats.org/officeDocument/2006/relationships/hyperlink" Target="https://www.digikey.com/en/products/detail/gct/DCJ250-05-A-K1-A/9859609" TargetMode="External"/><Relationship Id="rId60" Type="http://schemas.openxmlformats.org/officeDocument/2006/relationships/hyperlink" Target="https://www.digikey.com/en/products/detail/yageo/RC0402JR-07100KL/726416" TargetMode="External"/><Relationship Id="rId4" Type="http://schemas.openxmlformats.org/officeDocument/2006/relationships/hyperlink" Target="https://www.digikey.com/en/products/detail/rohm-semiconductor/TCP1A105M8R/923650?s=N4IgTCBcDaICoGEAKBGAgigDAVgLIA4AlEAXQF8g" TargetMode="External"/><Relationship Id="rId9" Type="http://schemas.openxmlformats.org/officeDocument/2006/relationships/hyperlink" Target="https://www.arrow.com/en/products/uwx1e101mcl1gb/nichico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igikey.com/en/products/detail/yageo/CC0402JRNPO9BN221/2833581?s=N4IgTCBcDaIMJwAwBZFgFICUByAFA8gJwBC2YYAjCALoC%2BQA" TargetMode="External"/><Relationship Id="rId18" Type="http://schemas.openxmlformats.org/officeDocument/2006/relationships/hyperlink" Target="https://www.digikey.com/en/products/detail/yageo/RC0402JR-0720KL/2827648?s=N4IgTCBcDaIEoGEAMAWJYBScC0SDsYSA0gDIgC6AvkA" TargetMode="External"/><Relationship Id="rId26" Type="http://schemas.openxmlformats.org/officeDocument/2006/relationships/hyperlink" Target="https://www.digikey.com/en/products/detail/yageo/RC0402JR-071KL/729355" TargetMode="External"/><Relationship Id="rId39" Type="http://schemas.openxmlformats.org/officeDocument/2006/relationships/hyperlink" Target="https://www.digikey.com/en/products/detail/nexperia-usa-inc/PMV65XP-215/949643" TargetMode="External"/><Relationship Id="rId21" Type="http://schemas.openxmlformats.org/officeDocument/2006/relationships/hyperlink" Target="https://www.digikey.com/en/products/detail/rohm-semiconductor/ESR01MZPJ103/4053677" TargetMode="External"/><Relationship Id="rId34" Type="http://schemas.openxmlformats.org/officeDocument/2006/relationships/hyperlink" Target="https://www.digikey.com/en/products/detail/stackpole-electronics-inc/RMCF0402JT470R/1712461" TargetMode="External"/><Relationship Id="rId42" Type="http://schemas.openxmlformats.org/officeDocument/2006/relationships/hyperlink" Target="https://www.digikey.com/en/products/detail/ndk-america-inc/NX3215SA-32-768K-STD-MUA-8/2261469?s=N4IgTCBcDaIHIA0DMYCMBWAygQQLQoDoB2ANgA4BpXTAFQBFcBZAVTzJAF0BfIA" TargetMode="External"/><Relationship Id="rId47" Type="http://schemas.openxmlformats.org/officeDocument/2006/relationships/hyperlink" Target="https://www.digikey.com/en/products/detail/chilisin-electronics/BMRA00040420100MA1/12141016?s=N4IgjCBcoCwGxVAYygMwIYBsDOBTANCAPZQDaIMArAMwAcA7DCALqEAOALlCAMocBOASwB2AcxABfQmACctGYhApIGHAWJkQABhbsukXgJHipIAExaGiztwCqwwRwDyqALK502AK79cIQl7cAK0AEv4gALYi3GA6hBHoAB4xOqYWtLTW%2BiD2ji7unj5%2BAdwAguFRwjEAdAjxSTUIpgC0lIrKqniEJJDkZiwSaZoAksIAJl5IHET8A0A" TargetMode="External"/><Relationship Id="rId50" Type="http://schemas.openxmlformats.org/officeDocument/2006/relationships/hyperlink" Target="https://www.digikey.com/en/products/detail/texas-instruments/DRV8876PWPR/10270191?s=N4IgTCBcDaICICUBqAOFB2AbABQOrYRAF0BfIA" TargetMode="External"/><Relationship Id="rId55" Type="http://schemas.openxmlformats.org/officeDocument/2006/relationships/hyperlink" Target="https://www.digikey.com/en/products/detail/weidm%C3%BCller/1715260000/269760" TargetMode="External"/><Relationship Id="rId63" Type="http://schemas.openxmlformats.org/officeDocument/2006/relationships/hyperlink" Target="https://www.digikey.com/en/products/detail/diodes-incorporated/BSS8402DW-7-F/815002?s=N4IgTCBcDaIEIGUEA4AsAGMARA6gWgHY8AxEAXQF8g" TargetMode="External"/><Relationship Id="rId7" Type="http://schemas.openxmlformats.org/officeDocument/2006/relationships/hyperlink" Target="https://www.digikey.com/en/products/detail/tdk-corporation/CGA3E2X7R2A223K080AA/2443292?s=N4IgTCBcDaIMIHECCBmAomAGgdgEpiTDBQGkAGADjKSRAF0BfIA" TargetMode="External"/><Relationship Id="rId2" Type="http://schemas.openxmlformats.org/officeDocument/2006/relationships/hyperlink" Target="https://www.digikey.com/en/products/detail/yageo/CC0402KRX7R7BB104/2103076?s=N4IgTCBcDaIMJwAwBZFgNICUAaB2TuAQoQIwogC6AvkA" TargetMode="External"/><Relationship Id="rId16" Type="http://schemas.openxmlformats.org/officeDocument/2006/relationships/hyperlink" Target="https://www.digikey.com/en/products/detail/omron-electronics-inc-emc-div/B3U-1000P/1534338" TargetMode="External"/><Relationship Id="rId29" Type="http://schemas.openxmlformats.org/officeDocument/2006/relationships/hyperlink" Target="https://www.digikey.com/en/products/detail/stmicroelectronics/LM393DT/591695" TargetMode="External"/><Relationship Id="rId11" Type="http://schemas.openxmlformats.org/officeDocument/2006/relationships/hyperlink" Target="https://www.digikey.com/en/products/detail/taiyo-yuden/EMK105ABJ225KV-F/7403764?s=N4IgTCBcDaIKIFkDSBGADAVgIICEBSYYGSAagLQBiIAugL5A" TargetMode="External"/><Relationship Id="rId24" Type="http://schemas.openxmlformats.org/officeDocument/2006/relationships/hyperlink" Target="https://www.digikey.com/en/products/detail/yageo/RC0402FR-070RL/2827888" TargetMode="External"/><Relationship Id="rId32" Type="http://schemas.openxmlformats.org/officeDocument/2006/relationships/hyperlink" Target="https://www.digikey.com/en/products/detail/texas-instruments/LMR62014XMFE-NOPB/2754196" TargetMode="External"/><Relationship Id="rId37" Type="http://schemas.openxmlformats.org/officeDocument/2006/relationships/hyperlink" Target="https://www.digikey.com/en/products/detail/vishay-semiconductor-opto-division/VLMS1500-GS08/3504681" TargetMode="External"/><Relationship Id="rId40" Type="http://schemas.openxmlformats.org/officeDocument/2006/relationships/hyperlink" Target="https://www.digikey.com/en/products/detail/diodes-incorporated/ZVN3310FTA/92648?s=N4IgTCBcDaIFoDUByBmFBGADAMQCoEEQBdAXyA" TargetMode="External"/><Relationship Id="rId45" Type="http://schemas.openxmlformats.org/officeDocument/2006/relationships/hyperlink" Target="https://www.digikey.com/en/products/detail/rubycon/25SEV10M4X5-5/3568461" TargetMode="External"/><Relationship Id="rId53" Type="http://schemas.openxmlformats.org/officeDocument/2006/relationships/hyperlink" Target="https://www.digikey.com/en/products/detail/adam-tech/MCR-B-S-RA-SMT-CS5A-NF-T-R/9832094" TargetMode="External"/><Relationship Id="rId58" Type="http://schemas.openxmlformats.org/officeDocument/2006/relationships/hyperlink" Target="https://www.questcomp.com/part/rb060m-30tr/rohm-co-ltd/332009458/1620554" TargetMode="External"/><Relationship Id="rId5" Type="http://schemas.openxmlformats.org/officeDocument/2006/relationships/hyperlink" Target="https://www.digikey.com/en/products/detail/yageo/CC0603JRNPO9BN250/5883609?s=N4IgTCBcDaIMJwAwDZEGYBSAlAcgBQHkBOAIRzAFZEQBdAXyA" TargetMode="External"/><Relationship Id="rId61" Type="http://schemas.openxmlformats.org/officeDocument/2006/relationships/hyperlink" Target="https://www.digikey.com/en/products/detail/vishay-dale/CRCW060310K5FKEAC/7924527" TargetMode="External"/><Relationship Id="rId19" Type="http://schemas.openxmlformats.org/officeDocument/2006/relationships/hyperlink" Target="https://www.digikey.com/en/products/detail/yageo/RC0402FR-072KL/2827565?s=N4IgTCBcDaIEoGEAMAWJYBicC0SDsYA0gDIgC6AvkA" TargetMode="External"/><Relationship Id="rId14" Type="http://schemas.openxmlformats.org/officeDocument/2006/relationships/hyperlink" Target="https://eu.mouser.com/ProductDetail/Nexperia/PMEG3010ER115?qs=LMSg3oBIm%2FjofezKw7ztsw%3D%3D" TargetMode="External"/><Relationship Id="rId22" Type="http://schemas.openxmlformats.org/officeDocument/2006/relationships/hyperlink" Target="https://eu.mouser.com/ProductDetail/YAGEO/RC0402FR-07133KL?qs=UOUeRUa%252B8WmCOdu%2F2H3z4Q%3D%3D" TargetMode="External"/><Relationship Id="rId27" Type="http://schemas.openxmlformats.org/officeDocument/2006/relationships/hyperlink" Target="https://www.digikey.com/en/products/detail/yageo/AC0402FR-07118KL/5895039?s=N4IgTCBcDaIIIGEAMAWJYBiAlAtEg7AIyEAcA0gDIgC6AvkA" TargetMode="External"/><Relationship Id="rId30" Type="http://schemas.openxmlformats.org/officeDocument/2006/relationships/hyperlink" Target="https://www.arrow.com/en/products/lm4890mxnopb/texas-instruments?utm_campaign=octopart_2020&amp;utm_currency=USD&amp;utm_keyword=LM4890MX%2FNOPB&amp;utm_medium=aggregator&amp;utm_content=inv_listing&amp;region=nac&amp;utm_source=octopart" TargetMode="External"/><Relationship Id="rId35" Type="http://schemas.openxmlformats.org/officeDocument/2006/relationships/hyperlink" Target="https://www.digikey.com/en/products/detail/ohmite/KDV08FR068ET/10476504" TargetMode="External"/><Relationship Id="rId43" Type="http://schemas.openxmlformats.org/officeDocument/2006/relationships/hyperlink" Target="https://www.digikey.com/en/products/detail/maxlinear-inc/SPX3940AM3-L-3-3-TR/2472424?s=N4IgTCBcDaIMoAUAaBmAnAFgAwEECyKAtADKFEoD0AKgEogC6AvkA" TargetMode="External"/><Relationship Id="rId48" Type="http://schemas.openxmlformats.org/officeDocument/2006/relationships/hyperlink" Target="https://eu.mouser.com/ProductDetail/Littelfuse/SP3014-02UTG?qs=F8HfwHd0zjdqZPOszBglrg%3D%3D" TargetMode="External"/><Relationship Id="rId56" Type="http://schemas.openxmlformats.org/officeDocument/2006/relationships/hyperlink" Target="https://www.digikey.com/en/products/detail/phoenix-contact/1711725/260395" TargetMode="External"/><Relationship Id="rId64" Type="http://schemas.openxmlformats.org/officeDocument/2006/relationships/hyperlink" Target="https://www.adafruit.com/product/375" TargetMode="External"/><Relationship Id="rId8" Type="http://schemas.openxmlformats.org/officeDocument/2006/relationships/hyperlink" Target="https://eu.mouser.com/ProductDetail/Kyocera-AVX/TAJB475K035RNJ?qs=mgX5NEyWO4TjTiyDuj3Okg%3D%3D" TargetMode="External"/><Relationship Id="rId51" Type="http://schemas.openxmlformats.org/officeDocument/2006/relationships/hyperlink" Target="https://www.digikey.com/en/products/detail/microchip-technology/MCP7940N-I-SN/2651354?s=N4IgTCBcDaILIGEAKB2AnAFgAwDkC0AkgPQDKOIAugL5A" TargetMode="External"/><Relationship Id="rId3" Type="http://schemas.openxmlformats.org/officeDocument/2006/relationships/hyperlink" Target="https://www.digikey.com/en/products/detail/murata-electronics/GRM21BR61E226ME44L/4905535?s=N4IgTCBcDaIOICUCyYCMAhBA2VBRMYWSuALCQDIgC6AvkA" TargetMode="External"/><Relationship Id="rId12" Type="http://schemas.openxmlformats.org/officeDocument/2006/relationships/hyperlink" Target="https://www.digikey.com/en/products/detail/rohm-semiconductor/TCTU1D334M8R/4340359?s=N4IgTCBcDaICoGE4FUCMARAzJgLAWQA4AlEAXQF8g" TargetMode="External"/><Relationship Id="rId17" Type="http://schemas.openxmlformats.org/officeDocument/2006/relationships/hyperlink" Target="https://www.digikey.com/en/products/detail/stackpole-electronics-inc/RMCF0201FT1K50/1761885?s=N4IgTCBcDaIEoFkDCAxADGNBGFAVLA0gKxogC6AvkA" TargetMode="External"/><Relationship Id="rId25" Type="http://schemas.openxmlformats.org/officeDocument/2006/relationships/hyperlink" Target="https://www.digikey.com/en/products/detail/yageo/RC0402FR-0747KL/726616?s=N4IgTCBcDaIEoGEAMAWJYBicC0SDsKeA0gDIgC6AvkA" TargetMode="External"/><Relationship Id="rId33" Type="http://schemas.openxmlformats.org/officeDocument/2006/relationships/hyperlink" Target="https://www.digikey.com/en/products/detail/amphenol-icc-fci/20021121-00010C4LF/2209057?s=N4IgTCBcDa4AxzARicgtAuS4GEAsAMgGIgC6AvkA" TargetMode="External"/><Relationship Id="rId38" Type="http://schemas.openxmlformats.org/officeDocument/2006/relationships/hyperlink" Target="https://www.digikey.com/en/products/detail/onsemi/FDN338P/458848" TargetMode="External"/><Relationship Id="rId46" Type="http://schemas.openxmlformats.org/officeDocument/2006/relationships/hyperlink" Target="https://www.digikey.com/en/products/detail/nkk-switches/MS12ASG30/1058151" TargetMode="External"/><Relationship Id="rId59" Type="http://schemas.openxmlformats.org/officeDocument/2006/relationships/hyperlink" Target="https://www.digikey.com/en/products/detail/yageo/RC0402JR-07100KL/726416" TargetMode="External"/><Relationship Id="rId20" Type="http://schemas.openxmlformats.org/officeDocument/2006/relationships/hyperlink" Target="https://www.digikey.com/en/products/detail/yageo/AC0402FR-0730K9L/5895275?s=N4IgTCBcDaIIIGEAMAWJYBiAlAtEg7AMxIDSAnADIgC6AvkA" TargetMode="External"/><Relationship Id="rId41" Type="http://schemas.openxmlformats.org/officeDocument/2006/relationships/hyperlink" Target="https://www.digikey.com/en/products/detail/onsemi/FDN335N/965301?s=N4IgTCBcDaIGIBEByBmFBWJIC6BfIA" TargetMode="External"/><Relationship Id="rId54" Type="http://schemas.openxmlformats.org/officeDocument/2006/relationships/hyperlink" Target="https://www.digikey.com/en/products/detail/premium-batteries/CH25/13896129" TargetMode="External"/><Relationship Id="rId62" Type="http://schemas.openxmlformats.org/officeDocument/2006/relationships/hyperlink" Target="https://www.digikey.com/en/products/detail/sullins-connector-solutions/PPTC051LFBN-RC/807239" TargetMode="External"/><Relationship Id="rId1" Type="http://schemas.openxmlformats.org/officeDocument/2006/relationships/hyperlink" Target="https://www.digikey.com/en/products/detail/panasonic-electronic-components/EEE-HB1E6R8R/817513?s=N4IgTCBcDaIKIIBICECMcBsAlAHFkAugL5A" TargetMode="External"/><Relationship Id="rId6" Type="http://schemas.openxmlformats.org/officeDocument/2006/relationships/hyperlink" Target="https://www.digikey.com/en/products/detail/yageo/CC0201JRNPO8BN200/5883132" TargetMode="External"/><Relationship Id="rId15" Type="http://schemas.openxmlformats.org/officeDocument/2006/relationships/hyperlink" Target="https://www.digikey.com/en/products/detail/onsemi/NZT660A/1050764?s=N4IgTCBcDaIHIC0AqA2FAGAgiAugXyA" TargetMode="External"/><Relationship Id="rId23" Type="http://schemas.openxmlformats.org/officeDocument/2006/relationships/hyperlink" Target="https://www.digikey.com/en/products/detail/stackpole-electronics-inc/RMCF0402FT49K9/1942927" TargetMode="External"/><Relationship Id="rId28" Type="http://schemas.openxmlformats.org/officeDocument/2006/relationships/hyperlink" Target="https://www.digikey.com/en/products/detail/yageo/RC0402FR-0713K3L/5280834?s=N4IgTCBcDaIEoGEAMAWJYBicC0SDsAjAMwDSRAMiALoC%2BQA" TargetMode="External"/><Relationship Id="rId36" Type="http://schemas.openxmlformats.org/officeDocument/2006/relationships/hyperlink" Target="https://www.digikey.com/en/products/detail/stackpole-electronics-inc/RMCF0402JT1M00/1758203" TargetMode="External"/><Relationship Id="rId49" Type="http://schemas.openxmlformats.org/officeDocument/2006/relationships/hyperlink" Target="https://www.digikey.com/en/products/detail/ATSAMD21G18A-AUT/ATSAMD21G18A-AUTDKR-ND/4878891?utm_campaign=buynow&amp;utm_medium=aggregator&amp;curr=usd&amp;utm_source=octopart" TargetMode="External"/><Relationship Id="rId57" Type="http://schemas.openxmlformats.org/officeDocument/2006/relationships/hyperlink" Target="https://www.digikey.com/en/products/detail/jst-sales-america-inc/B2B-XH-A-LF-SN/1651045" TargetMode="External"/><Relationship Id="rId10" Type="http://schemas.openxmlformats.org/officeDocument/2006/relationships/hyperlink" Target="https://www.digikey.com/en/products/detail/samsung-electro-mechanics/CL10A475KA8NQNC/3887558?s=N4IgTCBcDaIMIBkCMAGAggFgOwFYDSaAHAHICKxcIAugL5A" TargetMode="External"/><Relationship Id="rId31" Type="http://schemas.openxmlformats.org/officeDocument/2006/relationships/hyperlink" Target="https://www.digikey.com/en/products/detail/texas-instruments/BQ2057WSNTR/1690104" TargetMode="External"/><Relationship Id="rId44" Type="http://schemas.openxmlformats.org/officeDocument/2006/relationships/hyperlink" Target="https://www.digikey.com/en/products/detail/diodes-incorporated/TLV431BFTA/1952619?s=N4IgTCBcDaICoBkBqAWAzARgEIDE4EEQBdAXyA" TargetMode="External"/><Relationship Id="rId52" Type="http://schemas.openxmlformats.org/officeDocument/2006/relationships/hyperlink" Target="https://www.digikey.com/en/products/detail/gct/DCJ250-05-A-K1-A/9859609" TargetMode="External"/><Relationship Id="rId60" Type="http://schemas.openxmlformats.org/officeDocument/2006/relationships/hyperlink" Target="https://www.digikey.com/en/products/detail/yageo/RC0603FR-074K7L/727212?s=N4IgTCBcDaIEoGEAMA2JBmAYnAtEg7ACwDS%2BAMiALoC%2BQA" TargetMode="External"/><Relationship Id="rId4" Type="http://schemas.openxmlformats.org/officeDocument/2006/relationships/hyperlink" Target="https://www.digikey.com/en/products/detail/rohm-semiconductor/TCP1A105M8R/923650?s=N4IgTCBcDaICoGEAKBGAgigDAVgLIA4AlEAXQF8g" TargetMode="External"/><Relationship Id="rId9" Type="http://schemas.openxmlformats.org/officeDocument/2006/relationships/hyperlink" Target="https://www.arrow.com/en/products/uwx1e101mcl1gb/nichic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4"/>
  <sheetViews>
    <sheetView topLeftCell="G53" workbookViewId="0">
      <selection activeCell="B71" sqref="B71"/>
    </sheetView>
  </sheetViews>
  <sheetFormatPr defaultColWidth="9" defaultRowHeight="15"/>
  <cols>
    <col min="1" max="1" width="6.140625" style="88" customWidth="1"/>
    <col min="2" max="2" width="14.42578125" customWidth="1"/>
    <col min="3" max="3" width="39.42578125" style="87" customWidth="1"/>
    <col min="4" max="4" width="35.7109375" style="88" customWidth="1"/>
    <col min="5" max="5" width="18.5703125" style="88" customWidth="1"/>
    <col min="6" max="6" width="25.85546875" style="88" customWidth="1"/>
    <col min="7" max="7" width="24.7109375" style="88" customWidth="1"/>
    <col min="8" max="8" width="25.7109375" customWidth="1"/>
    <col min="9" max="9" width="6.140625" style="56" customWidth="1"/>
    <col min="10" max="10" width="19.42578125" style="88" customWidth="1"/>
    <col min="11" max="11" width="10.140625" customWidth="1"/>
    <col min="12" max="12" width="11.140625" customWidth="1"/>
    <col min="13" max="13" width="12.140625" customWidth="1"/>
    <col min="14" max="14" width="14" style="88" customWidth="1"/>
    <col min="15" max="15" width="11.5703125" customWidth="1"/>
    <col min="16" max="16" width="12.140625" customWidth="1"/>
    <col min="17" max="17" width="12.5703125" customWidth="1"/>
    <col min="18" max="20" width="13.7109375" customWidth="1"/>
    <col min="21" max="21" width="44" customWidth="1"/>
  </cols>
  <sheetData>
    <row r="1" spans="1:23" ht="15.75">
      <c r="A1" s="201" t="s">
        <v>0</v>
      </c>
      <c r="B1" s="202"/>
      <c r="C1" s="202"/>
      <c r="D1" s="202"/>
      <c r="E1" s="202"/>
      <c r="F1" s="202"/>
      <c r="G1" s="202"/>
      <c r="H1" s="202"/>
      <c r="I1" s="202"/>
      <c r="J1" s="202"/>
      <c r="K1" s="202"/>
      <c r="L1" s="202"/>
      <c r="M1" s="202"/>
      <c r="N1" s="202"/>
      <c r="O1" s="202"/>
      <c r="P1" s="202"/>
      <c r="Q1" s="202"/>
      <c r="R1" s="202"/>
      <c r="S1" s="202"/>
      <c r="T1" s="202"/>
      <c r="U1" s="203"/>
    </row>
    <row r="2" spans="1:23">
      <c r="A2" s="6" t="s">
        <v>1</v>
      </c>
      <c r="B2" s="4" t="s">
        <v>2</v>
      </c>
      <c r="C2" s="4" t="s">
        <v>3</v>
      </c>
      <c r="D2" s="4" t="s">
        <v>4</v>
      </c>
      <c r="E2" s="4" t="s">
        <v>5</v>
      </c>
      <c r="F2" s="4" t="s">
        <v>6</v>
      </c>
      <c r="G2" s="4" t="s">
        <v>7</v>
      </c>
      <c r="H2" s="4" t="s">
        <v>8</v>
      </c>
      <c r="I2" s="4" t="s">
        <v>9</v>
      </c>
      <c r="J2" s="4" t="s">
        <v>10</v>
      </c>
      <c r="K2" s="4" t="s">
        <v>11</v>
      </c>
      <c r="L2" s="4" t="s">
        <v>12</v>
      </c>
      <c r="M2" s="4" t="s">
        <v>13</v>
      </c>
      <c r="N2" s="24" t="s">
        <v>14</v>
      </c>
      <c r="O2" s="4" t="s">
        <v>15</v>
      </c>
      <c r="P2" s="4" t="s">
        <v>16</v>
      </c>
      <c r="Q2" s="4" t="s">
        <v>17</v>
      </c>
      <c r="R2" s="4" t="s">
        <v>18</v>
      </c>
      <c r="S2" s="4" t="s">
        <v>19</v>
      </c>
      <c r="T2" s="4" t="s">
        <v>20</v>
      </c>
      <c r="U2" s="4" t="s">
        <v>21</v>
      </c>
    </row>
    <row r="3" spans="1:23" s="86" customFormat="1" ht="15.75" customHeight="1">
      <c r="A3" s="2">
        <v>1</v>
      </c>
      <c r="B3" s="206" t="s">
        <v>22</v>
      </c>
      <c r="C3" s="154" t="s">
        <v>23</v>
      </c>
      <c r="D3" s="155" t="s">
        <v>24</v>
      </c>
      <c r="E3" s="155" t="s">
        <v>25</v>
      </c>
      <c r="F3" s="155" t="s">
        <v>26</v>
      </c>
      <c r="G3" s="5" t="s">
        <v>27</v>
      </c>
      <c r="H3" s="156" t="s">
        <v>28</v>
      </c>
      <c r="I3" s="155" t="s">
        <v>29</v>
      </c>
      <c r="J3" s="5">
        <v>1</v>
      </c>
      <c r="K3" s="106">
        <f t="shared" ref="K3:K47" si="0">J3*5</f>
        <v>5</v>
      </c>
      <c r="L3" s="106">
        <f t="shared" ref="L3:L47" si="1">J3*50</f>
        <v>50</v>
      </c>
      <c r="M3" s="106">
        <f t="shared" ref="M3:M47" si="2">J3*100</f>
        <v>100</v>
      </c>
      <c r="N3" s="112" t="s">
        <v>30</v>
      </c>
      <c r="O3" s="113">
        <v>0.43</v>
      </c>
      <c r="P3" s="114">
        <f t="shared" ref="P3:P47" si="3">O3*K3</f>
        <v>2.15</v>
      </c>
      <c r="Q3" s="113">
        <v>0.1956</v>
      </c>
      <c r="R3" s="114">
        <f t="shared" ref="R3:R47" si="4">Q3*L3</f>
        <v>9.7799999999999994</v>
      </c>
      <c r="S3" s="131">
        <v>0.16619999999999999</v>
      </c>
      <c r="T3" s="132">
        <f t="shared" ref="T3:T47" si="5">S3*M3</f>
        <v>16.619999999999997</v>
      </c>
      <c r="U3" s="133"/>
    </row>
    <row r="4" spans="1:23" ht="15.75" customHeight="1">
      <c r="A4" s="2">
        <v>2</v>
      </c>
      <c r="B4" s="207"/>
      <c r="C4" s="157" t="s">
        <v>31</v>
      </c>
      <c r="D4" s="158" t="s">
        <v>32</v>
      </c>
      <c r="E4" s="158" t="s">
        <v>25</v>
      </c>
      <c r="F4" s="159" t="s">
        <v>33</v>
      </c>
      <c r="G4" s="8" t="s">
        <v>34</v>
      </c>
      <c r="H4" s="160" t="s">
        <v>35</v>
      </c>
      <c r="I4" s="158" t="s">
        <v>36</v>
      </c>
      <c r="J4" s="8">
        <v>1</v>
      </c>
      <c r="K4" s="107">
        <f t="shared" si="0"/>
        <v>5</v>
      </c>
      <c r="L4" s="107">
        <f t="shared" si="1"/>
        <v>50</v>
      </c>
      <c r="M4" s="107">
        <f t="shared" si="2"/>
        <v>100</v>
      </c>
      <c r="N4" s="28" t="s">
        <v>30</v>
      </c>
      <c r="O4" s="29">
        <v>0.47</v>
      </c>
      <c r="P4" s="115">
        <f t="shared" si="3"/>
        <v>2.3499999999999996</v>
      </c>
      <c r="Q4" s="29">
        <v>0.22620000000000001</v>
      </c>
      <c r="R4" s="115">
        <f t="shared" si="4"/>
        <v>11.31</v>
      </c>
      <c r="S4" s="134">
        <v>0.19389999999999999</v>
      </c>
      <c r="T4" s="115">
        <f t="shared" si="5"/>
        <v>19.39</v>
      </c>
      <c r="U4" s="59" t="s">
        <v>37</v>
      </c>
    </row>
    <row r="5" spans="1:23" s="89" customFormat="1" ht="51">
      <c r="A5" s="2">
        <v>3</v>
      </c>
      <c r="B5" s="207"/>
      <c r="C5" s="157" t="s">
        <v>38</v>
      </c>
      <c r="D5" s="161" t="s">
        <v>39</v>
      </c>
      <c r="E5" s="158" t="s">
        <v>40</v>
      </c>
      <c r="F5" s="158" t="s">
        <v>41</v>
      </c>
      <c r="G5" s="8" t="s">
        <v>42</v>
      </c>
      <c r="H5" s="158" t="s">
        <v>28</v>
      </c>
      <c r="I5" s="158" t="s">
        <v>43</v>
      </c>
      <c r="J5" s="8">
        <v>16</v>
      </c>
      <c r="K5" s="107">
        <f t="shared" si="0"/>
        <v>80</v>
      </c>
      <c r="L5" s="107">
        <f t="shared" si="1"/>
        <v>800</v>
      </c>
      <c r="M5" s="107">
        <f t="shared" si="2"/>
        <v>1600</v>
      </c>
      <c r="N5" s="31" t="s">
        <v>30</v>
      </c>
      <c r="O5" s="29">
        <v>1.5800000000000002E-2</v>
      </c>
      <c r="P5" s="115">
        <f t="shared" si="3"/>
        <v>1.2640000000000002</v>
      </c>
      <c r="Q5" s="29">
        <v>9.2399999999999999E-3</v>
      </c>
      <c r="R5" s="115">
        <f t="shared" si="4"/>
        <v>7.3920000000000003</v>
      </c>
      <c r="S5" s="134">
        <v>7.26E-3</v>
      </c>
      <c r="T5" s="115">
        <f t="shared" si="5"/>
        <v>11.616</v>
      </c>
      <c r="U5" s="60" t="s">
        <v>44</v>
      </c>
    </row>
    <row r="6" spans="1:23" ht="15.75" customHeight="1">
      <c r="A6" s="2">
        <v>4</v>
      </c>
      <c r="B6" s="207"/>
      <c r="C6" s="157" t="s">
        <v>45</v>
      </c>
      <c r="D6" s="158" t="s">
        <v>46</v>
      </c>
      <c r="E6" s="158" t="s">
        <v>47</v>
      </c>
      <c r="F6" s="158" t="s">
        <v>48</v>
      </c>
      <c r="G6" s="8" t="s">
        <v>49</v>
      </c>
      <c r="H6" s="158" t="s">
        <v>28</v>
      </c>
      <c r="I6" s="158" t="s">
        <v>50</v>
      </c>
      <c r="J6" s="8">
        <v>2</v>
      </c>
      <c r="K6" s="107">
        <f t="shared" si="0"/>
        <v>10</v>
      </c>
      <c r="L6" s="107">
        <f t="shared" si="1"/>
        <v>100</v>
      </c>
      <c r="M6" s="107">
        <f t="shared" si="2"/>
        <v>200</v>
      </c>
      <c r="N6" s="162" t="s">
        <v>30</v>
      </c>
      <c r="O6" s="30">
        <v>0.30199999999999999</v>
      </c>
      <c r="P6" s="115">
        <f t="shared" si="3"/>
        <v>3.02</v>
      </c>
      <c r="Q6" s="30">
        <v>0.18149999999999999</v>
      </c>
      <c r="R6" s="115">
        <f t="shared" si="4"/>
        <v>18.149999999999999</v>
      </c>
      <c r="S6" s="134">
        <v>0.18149999999999999</v>
      </c>
      <c r="T6" s="115">
        <f t="shared" si="5"/>
        <v>36.299999999999997</v>
      </c>
      <c r="U6" s="61"/>
      <c r="V6" s="135"/>
      <c r="W6" s="135"/>
    </row>
    <row r="7" spans="1:23">
      <c r="A7" s="2">
        <v>5</v>
      </c>
      <c r="B7" s="207"/>
      <c r="C7" s="163" t="s">
        <v>51</v>
      </c>
      <c r="D7" s="158" t="s">
        <v>52</v>
      </c>
      <c r="E7" s="158" t="s">
        <v>25</v>
      </c>
      <c r="F7" s="158" t="s">
        <v>53</v>
      </c>
      <c r="G7" s="8" t="s">
        <v>54</v>
      </c>
      <c r="H7" s="158" t="s">
        <v>28</v>
      </c>
      <c r="I7" s="158" t="s">
        <v>55</v>
      </c>
      <c r="J7" s="8">
        <v>2</v>
      </c>
      <c r="K7" s="107">
        <f t="shared" si="0"/>
        <v>10</v>
      </c>
      <c r="L7" s="107">
        <f t="shared" si="1"/>
        <v>100</v>
      </c>
      <c r="M7" s="107">
        <f t="shared" si="2"/>
        <v>200</v>
      </c>
      <c r="N7" s="162" t="s">
        <v>30</v>
      </c>
      <c r="O7" s="30">
        <v>0.378</v>
      </c>
      <c r="P7" s="115">
        <f t="shared" si="3"/>
        <v>3.7800000000000002</v>
      </c>
      <c r="Q7" s="30">
        <v>0.2487</v>
      </c>
      <c r="R7" s="115">
        <f t="shared" si="4"/>
        <v>24.87</v>
      </c>
      <c r="S7" s="134">
        <v>0.2487</v>
      </c>
      <c r="T7" s="115">
        <f t="shared" si="5"/>
        <v>49.74</v>
      </c>
      <c r="U7" s="61"/>
      <c r="V7" s="135"/>
      <c r="W7" s="135"/>
    </row>
    <row r="8" spans="1:23" ht="15.75" customHeight="1">
      <c r="A8" s="2">
        <v>6</v>
      </c>
      <c r="B8" s="207"/>
      <c r="C8" s="157" t="s">
        <v>56</v>
      </c>
      <c r="D8" s="158" t="s">
        <v>57</v>
      </c>
      <c r="E8" s="158" t="s">
        <v>58</v>
      </c>
      <c r="F8" s="158" t="s">
        <v>59</v>
      </c>
      <c r="G8" s="8" t="s">
        <v>60</v>
      </c>
      <c r="H8" s="158" t="s">
        <v>28</v>
      </c>
      <c r="I8" s="158" t="s">
        <v>61</v>
      </c>
      <c r="J8" s="8">
        <v>1</v>
      </c>
      <c r="K8" s="107">
        <f t="shared" si="0"/>
        <v>5</v>
      </c>
      <c r="L8" s="107">
        <f t="shared" si="1"/>
        <v>50</v>
      </c>
      <c r="M8" s="107">
        <f t="shared" si="2"/>
        <v>100</v>
      </c>
      <c r="N8" s="162" t="s">
        <v>30</v>
      </c>
      <c r="O8" s="30">
        <v>0.11</v>
      </c>
      <c r="P8" s="115">
        <f t="shared" si="3"/>
        <v>0.55000000000000004</v>
      </c>
      <c r="Q8" s="30">
        <v>4.36E-2</v>
      </c>
      <c r="R8" s="115">
        <f t="shared" si="4"/>
        <v>2.1800000000000002</v>
      </c>
      <c r="S8" s="134">
        <v>3.5700000000000003E-2</v>
      </c>
      <c r="T8" s="115">
        <f t="shared" si="5"/>
        <v>3.5700000000000003</v>
      </c>
      <c r="U8" s="61"/>
      <c r="V8" s="135"/>
      <c r="W8" s="135"/>
    </row>
    <row r="9" spans="1:23" ht="15.75" customHeight="1">
      <c r="A9" s="2">
        <v>7</v>
      </c>
      <c r="B9" s="207"/>
      <c r="C9" s="157" t="s">
        <v>62</v>
      </c>
      <c r="D9" s="158" t="s">
        <v>63</v>
      </c>
      <c r="E9" s="158" t="s">
        <v>64</v>
      </c>
      <c r="F9" s="159" t="s">
        <v>65</v>
      </c>
      <c r="G9" s="8" t="s">
        <v>49</v>
      </c>
      <c r="H9" s="158" t="s">
        <v>66</v>
      </c>
      <c r="I9" s="158" t="s">
        <v>67</v>
      </c>
      <c r="J9" s="8">
        <v>4</v>
      </c>
      <c r="K9" s="107">
        <f t="shared" si="0"/>
        <v>20</v>
      </c>
      <c r="L9" s="107">
        <f t="shared" si="1"/>
        <v>200</v>
      </c>
      <c r="M9" s="107">
        <f t="shared" si="2"/>
        <v>400</v>
      </c>
      <c r="N9" s="162" t="s">
        <v>30</v>
      </c>
      <c r="O9" s="30">
        <v>2.5999999999999999E-2</v>
      </c>
      <c r="P9" s="115">
        <f t="shared" si="3"/>
        <v>0.52</v>
      </c>
      <c r="Q9" s="30">
        <v>1.1599999999999999E-2</v>
      </c>
      <c r="R9" s="115">
        <f t="shared" si="4"/>
        <v>2.3199999999999998</v>
      </c>
      <c r="S9" s="134">
        <v>1.1599999999999999E-2</v>
      </c>
      <c r="T9" s="115">
        <f t="shared" si="5"/>
        <v>4.6399999999999997</v>
      </c>
      <c r="U9" s="61"/>
      <c r="V9" s="135"/>
      <c r="W9" s="135"/>
    </row>
    <row r="10" spans="1:23" ht="15.75" customHeight="1">
      <c r="A10" s="2">
        <v>8</v>
      </c>
      <c r="B10" s="207"/>
      <c r="C10" s="157" t="s">
        <v>68</v>
      </c>
      <c r="D10" s="158" t="s">
        <v>69</v>
      </c>
      <c r="E10" s="158" t="s">
        <v>58</v>
      </c>
      <c r="F10" s="158" t="s">
        <v>70</v>
      </c>
      <c r="G10" s="8" t="s">
        <v>71</v>
      </c>
      <c r="H10" s="158" t="s">
        <v>28</v>
      </c>
      <c r="I10" s="158" t="s">
        <v>72</v>
      </c>
      <c r="J10" s="8">
        <v>1</v>
      </c>
      <c r="K10" s="107">
        <f t="shared" si="0"/>
        <v>5</v>
      </c>
      <c r="L10" s="107">
        <f t="shared" si="1"/>
        <v>50</v>
      </c>
      <c r="M10" s="107">
        <f t="shared" si="2"/>
        <v>100</v>
      </c>
      <c r="N10" s="162" t="s">
        <v>30</v>
      </c>
      <c r="O10" s="30">
        <v>0.11</v>
      </c>
      <c r="P10" s="115">
        <f t="shared" si="3"/>
        <v>0.55000000000000004</v>
      </c>
      <c r="Q10" s="30">
        <v>4.3400000000000001E-2</v>
      </c>
      <c r="R10" s="115">
        <f t="shared" si="4"/>
        <v>2.17</v>
      </c>
      <c r="S10" s="134">
        <v>3.5900000000000001E-2</v>
      </c>
      <c r="T10" s="115">
        <f t="shared" si="5"/>
        <v>3.5900000000000003</v>
      </c>
      <c r="U10" s="61"/>
      <c r="V10" s="135"/>
      <c r="W10" s="135"/>
    </row>
    <row r="11" spans="1:23" s="89" customFormat="1" ht="15.75" customHeight="1">
      <c r="A11" s="2">
        <v>9</v>
      </c>
      <c r="B11" s="207"/>
      <c r="C11" s="157" t="s">
        <v>73</v>
      </c>
      <c r="D11" s="158" t="s">
        <v>74</v>
      </c>
      <c r="E11" s="158" t="s">
        <v>75</v>
      </c>
      <c r="F11" s="158" t="s">
        <v>76</v>
      </c>
      <c r="G11" s="8" t="s">
        <v>77</v>
      </c>
      <c r="H11" s="158" t="s">
        <v>28</v>
      </c>
      <c r="I11" s="158" t="s">
        <v>78</v>
      </c>
      <c r="J11" s="8">
        <v>1</v>
      </c>
      <c r="K11" s="107">
        <f t="shared" si="0"/>
        <v>5</v>
      </c>
      <c r="L11" s="107">
        <f t="shared" si="1"/>
        <v>50</v>
      </c>
      <c r="M11" s="107">
        <f t="shared" si="2"/>
        <v>100</v>
      </c>
      <c r="N11" s="28" t="s">
        <v>79</v>
      </c>
      <c r="O11" s="30">
        <v>0.44</v>
      </c>
      <c r="P11" s="115">
        <f t="shared" si="3"/>
        <v>2.2000000000000002</v>
      </c>
      <c r="Q11" s="30">
        <v>0.23699999999999999</v>
      </c>
      <c r="R11" s="115">
        <f t="shared" si="4"/>
        <v>11.85</v>
      </c>
      <c r="S11" s="136">
        <v>0.20399999999999999</v>
      </c>
      <c r="T11" s="115">
        <f t="shared" si="5"/>
        <v>20.399999999999999</v>
      </c>
      <c r="U11" s="62"/>
      <c r="V11" s="137"/>
      <c r="W11" s="137"/>
    </row>
    <row r="12" spans="1:23" ht="15.75" customHeight="1">
      <c r="A12" s="2">
        <v>10</v>
      </c>
      <c r="B12" s="207"/>
      <c r="C12" s="157" t="s">
        <v>80</v>
      </c>
      <c r="D12" s="158" t="s">
        <v>81</v>
      </c>
      <c r="E12" s="158" t="s">
        <v>25</v>
      </c>
      <c r="F12" s="158" t="s">
        <v>82</v>
      </c>
      <c r="G12" s="8" t="s">
        <v>83</v>
      </c>
      <c r="H12" s="158" t="s">
        <v>28</v>
      </c>
      <c r="I12" s="158" t="s">
        <v>84</v>
      </c>
      <c r="J12" s="8">
        <v>1</v>
      </c>
      <c r="K12" s="107">
        <f t="shared" si="0"/>
        <v>5</v>
      </c>
      <c r="L12" s="107">
        <f t="shared" si="1"/>
        <v>50</v>
      </c>
      <c r="M12" s="107">
        <f t="shared" si="2"/>
        <v>100</v>
      </c>
      <c r="N12" s="28" t="s">
        <v>85</v>
      </c>
      <c r="O12" s="32">
        <v>0.6411</v>
      </c>
      <c r="P12" s="115">
        <f t="shared" si="3"/>
        <v>3.2054999999999998</v>
      </c>
      <c r="Q12" s="32">
        <v>0.6411</v>
      </c>
      <c r="R12" s="115">
        <f t="shared" si="4"/>
        <v>32.055</v>
      </c>
      <c r="S12" s="134">
        <v>0.6411</v>
      </c>
      <c r="T12" s="115">
        <f t="shared" si="5"/>
        <v>64.11</v>
      </c>
      <c r="U12" s="138"/>
      <c r="V12" s="135"/>
      <c r="W12" s="135"/>
    </row>
    <row r="13" spans="1:23" ht="15.75" customHeight="1">
      <c r="A13" s="2">
        <v>11</v>
      </c>
      <c r="B13" s="207"/>
      <c r="C13" s="157" t="s">
        <v>86</v>
      </c>
      <c r="D13" s="158" t="s">
        <v>87</v>
      </c>
      <c r="E13" s="158" t="s">
        <v>58</v>
      </c>
      <c r="F13" s="158" t="s">
        <v>88</v>
      </c>
      <c r="G13" s="8" t="s">
        <v>89</v>
      </c>
      <c r="H13" s="158" t="s">
        <v>28</v>
      </c>
      <c r="I13" s="158" t="s">
        <v>90</v>
      </c>
      <c r="J13" s="8">
        <v>1</v>
      </c>
      <c r="K13" s="107">
        <f t="shared" si="0"/>
        <v>5</v>
      </c>
      <c r="L13" s="107">
        <f t="shared" si="1"/>
        <v>50</v>
      </c>
      <c r="M13" s="107">
        <f t="shared" si="2"/>
        <v>100</v>
      </c>
      <c r="N13" s="28" t="s">
        <v>30</v>
      </c>
      <c r="O13" s="30">
        <v>0.25900000000000001</v>
      </c>
      <c r="P13" s="115">
        <f t="shared" si="3"/>
        <v>1.2949999999999999</v>
      </c>
      <c r="Q13" s="30">
        <v>0.14660000000000001</v>
      </c>
      <c r="R13" s="115">
        <f t="shared" si="4"/>
        <v>7.33</v>
      </c>
      <c r="S13" s="134">
        <v>0.14660000000000001</v>
      </c>
      <c r="T13" s="115">
        <f t="shared" si="5"/>
        <v>14.66</v>
      </c>
      <c r="U13" s="138"/>
      <c r="V13" s="135"/>
      <c r="W13" s="135"/>
    </row>
    <row r="14" spans="1:23" ht="15.75" customHeight="1">
      <c r="A14" s="2">
        <v>12</v>
      </c>
      <c r="B14" s="207"/>
      <c r="C14" s="157" t="s">
        <v>91</v>
      </c>
      <c r="D14" s="8" t="s">
        <v>92</v>
      </c>
      <c r="E14" s="158" t="s">
        <v>40</v>
      </c>
      <c r="F14" s="158" t="s">
        <v>93</v>
      </c>
      <c r="G14" s="8" t="s">
        <v>94</v>
      </c>
      <c r="H14" s="158" t="s">
        <v>28</v>
      </c>
      <c r="I14" s="158" t="s">
        <v>95</v>
      </c>
      <c r="J14" s="8">
        <v>1</v>
      </c>
      <c r="K14" s="116">
        <f t="shared" si="0"/>
        <v>5</v>
      </c>
      <c r="L14" s="107">
        <f t="shared" si="1"/>
        <v>50</v>
      </c>
      <c r="M14" s="107">
        <f t="shared" si="2"/>
        <v>100</v>
      </c>
      <c r="N14" s="28" t="s">
        <v>30</v>
      </c>
      <c r="O14" s="30">
        <v>0.156</v>
      </c>
      <c r="P14" s="115">
        <f t="shared" si="3"/>
        <v>0.78</v>
      </c>
      <c r="Q14" s="30">
        <v>7.3499999999999996E-2</v>
      </c>
      <c r="R14" s="115">
        <f t="shared" si="4"/>
        <v>3.6749999999999998</v>
      </c>
      <c r="S14" s="134">
        <v>7.3499999999999996E-2</v>
      </c>
      <c r="T14" s="115">
        <f t="shared" si="5"/>
        <v>7.35</v>
      </c>
      <c r="U14" s="138"/>
      <c r="V14" s="135"/>
      <c r="W14" s="135"/>
    </row>
    <row r="15" spans="1:23" ht="15.75" customHeight="1">
      <c r="A15" s="2">
        <v>13</v>
      </c>
      <c r="B15" s="207"/>
      <c r="C15" s="157" t="s">
        <v>96</v>
      </c>
      <c r="D15" s="158" t="s">
        <v>97</v>
      </c>
      <c r="E15" s="158" t="s">
        <v>40</v>
      </c>
      <c r="F15" s="158" t="s">
        <v>98</v>
      </c>
      <c r="G15" s="8" t="s">
        <v>99</v>
      </c>
      <c r="H15" s="158" t="s">
        <v>28</v>
      </c>
      <c r="I15" s="158" t="s">
        <v>100</v>
      </c>
      <c r="J15" s="34">
        <v>1</v>
      </c>
      <c r="K15" s="107">
        <f t="shared" si="0"/>
        <v>5</v>
      </c>
      <c r="L15" s="117">
        <f t="shared" si="1"/>
        <v>50</v>
      </c>
      <c r="M15" s="107">
        <f t="shared" si="2"/>
        <v>100</v>
      </c>
      <c r="N15" s="28" t="s">
        <v>30</v>
      </c>
      <c r="O15" s="36">
        <v>0.52</v>
      </c>
      <c r="P15" s="118">
        <f t="shared" si="3"/>
        <v>2.6</v>
      </c>
      <c r="Q15" s="36">
        <v>0.27800000000000002</v>
      </c>
      <c r="R15" s="118">
        <f t="shared" si="4"/>
        <v>13.900000000000002</v>
      </c>
      <c r="S15" s="139">
        <v>0.2422</v>
      </c>
      <c r="T15" s="115">
        <f t="shared" si="5"/>
        <v>24.22</v>
      </c>
      <c r="U15" s="138"/>
      <c r="V15" s="135"/>
      <c r="W15" s="135"/>
    </row>
    <row r="16" spans="1:23" ht="15.75" customHeight="1">
      <c r="A16" s="2">
        <v>14</v>
      </c>
      <c r="B16" s="207"/>
      <c r="C16" s="164" t="s">
        <v>101</v>
      </c>
      <c r="D16" s="165" t="s">
        <v>102</v>
      </c>
      <c r="E16" s="165" t="s">
        <v>40</v>
      </c>
      <c r="F16" s="165" t="s">
        <v>103</v>
      </c>
      <c r="G16" s="11" t="s">
        <v>104</v>
      </c>
      <c r="H16" s="165" t="s">
        <v>105</v>
      </c>
      <c r="I16" s="165" t="s">
        <v>106</v>
      </c>
      <c r="J16" s="11">
        <v>1</v>
      </c>
      <c r="K16" s="119">
        <f t="shared" si="0"/>
        <v>5</v>
      </c>
      <c r="L16" s="116">
        <f t="shared" si="1"/>
        <v>50</v>
      </c>
      <c r="M16" s="116">
        <f t="shared" si="2"/>
        <v>100</v>
      </c>
      <c r="N16" s="120" t="s">
        <v>30</v>
      </c>
      <c r="O16" s="38">
        <v>0.1</v>
      </c>
      <c r="P16" s="118">
        <f t="shared" si="3"/>
        <v>0.5</v>
      </c>
      <c r="Q16" s="36">
        <v>1.8200000000000001E-2</v>
      </c>
      <c r="R16" s="118">
        <f t="shared" si="4"/>
        <v>0.91</v>
      </c>
      <c r="S16" s="139">
        <v>1.4800000000000001E-2</v>
      </c>
      <c r="T16" s="118">
        <f t="shared" si="5"/>
        <v>1.48</v>
      </c>
      <c r="U16" s="140"/>
      <c r="V16" s="135"/>
      <c r="W16" s="135"/>
    </row>
    <row r="17" spans="1:23" ht="15.75" customHeight="1">
      <c r="A17" s="2">
        <v>15</v>
      </c>
      <c r="B17" s="208" t="s">
        <v>107</v>
      </c>
      <c r="C17" s="12" t="s">
        <v>108</v>
      </c>
      <c r="D17" s="13" t="s">
        <v>109</v>
      </c>
      <c r="E17" s="166" t="s">
        <v>110</v>
      </c>
      <c r="F17" s="14" t="s">
        <v>111</v>
      </c>
      <c r="G17" s="14" t="s">
        <v>112</v>
      </c>
      <c r="H17" s="155" t="s">
        <v>105</v>
      </c>
      <c r="I17" s="166" t="s">
        <v>28</v>
      </c>
      <c r="J17" s="14">
        <v>1</v>
      </c>
      <c r="K17" s="14">
        <f t="shared" si="0"/>
        <v>5</v>
      </c>
      <c r="L17" s="14">
        <f t="shared" si="1"/>
        <v>50</v>
      </c>
      <c r="M17" s="14">
        <f t="shared" si="2"/>
        <v>100</v>
      </c>
      <c r="N17" s="39" t="s">
        <v>113</v>
      </c>
      <c r="O17" s="40">
        <v>0.5</v>
      </c>
      <c r="P17" s="121">
        <f t="shared" si="3"/>
        <v>2.5</v>
      </c>
      <c r="Q17" s="40">
        <v>0.5</v>
      </c>
      <c r="R17" s="121">
        <f t="shared" si="4"/>
        <v>25</v>
      </c>
      <c r="S17" s="40">
        <v>0.3</v>
      </c>
      <c r="T17" s="121">
        <f t="shared" si="5"/>
        <v>30</v>
      </c>
      <c r="U17" s="141"/>
      <c r="V17" s="135"/>
      <c r="W17" s="135"/>
    </row>
    <row r="18" spans="1:23">
      <c r="A18" s="2">
        <v>16</v>
      </c>
      <c r="B18" s="209"/>
      <c r="C18" s="167" t="s">
        <v>114</v>
      </c>
      <c r="D18" s="168" t="s">
        <v>115</v>
      </c>
      <c r="E18" s="168" t="s">
        <v>116</v>
      </c>
      <c r="F18" s="168" t="s">
        <v>117</v>
      </c>
      <c r="G18" s="15" t="s">
        <v>118</v>
      </c>
      <c r="H18" s="168" t="s">
        <v>119</v>
      </c>
      <c r="I18" s="168" t="s">
        <v>120</v>
      </c>
      <c r="J18" s="15">
        <v>2</v>
      </c>
      <c r="K18" s="109">
        <f t="shared" si="0"/>
        <v>10</v>
      </c>
      <c r="L18" s="109">
        <f t="shared" si="1"/>
        <v>100</v>
      </c>
      <c r="M18" s="109">
        <f t="shared" si="2"/>
        <v>200</v>
      </c>
      <c r="N18" s="42" t="s">
        <v>79</v>
      </c>
      <c r="O18" s="43">
        <v>0.32200000000000001</v>
      </c>
      <c r="P18" s="122">
        <f t="shared" si="3"/>
        <v>3.22</v>
      </c>
      <c r="Q18" s="43">
        <v>0.2</v>
      </c>
      <c r="R18" s="122">
        <f t="shared" si="4"/>
        <v>20</v>
      </c>
      <c r="S18" s="122">
        <v>0.2</v>
      </c>
      <c r="T18" s="122">
        <f t="shared" si="5"/>
        <v>40</v>
      </c>
      <c r="U18" s="142"/>
      <c r="V18" s="135"/>
      <c r="W18" s="135"/>
    </row>
    <row r="19" spans="1:23" s="89" customFormat="1" ht="15.75">
      <c r="A19" s="2">
        <v>17</v>
      </c>
      <c r="B19" s="10" t="s">
        <v>121</v>
      </c>
      <c r="C19" s="169" t="s">
        <v>122</v>
      </c>
      <c r="D19" s="170" t="s">
        <v>123</v>
      </c>
      <c r="E19" s="170" t="s">
        <v>124</v>
      </c>
      <c r="F19" s="171" t="s">
        <v>125</v>
      </c>
      <c r="G19" s="16" t="s">
        <v>126</v>
      </c>
      <c r="H19" s="170" t="s">
        <v>127</v>
      </c>
      <c r="I19" s="170" t="s">
        <v>120</v>
      </c>
      <c r="J19" s="16">
        <v>2</v>
      </c>
      <c r="K19" s="16">
        <f t="shared" si="0"/>
        <v>10</v>
      </c>
      <c r="L19" s="16">
        <f t="shared" si="1"/>
        <v>100</v>
      </c>
      <c r="M19" s="16">
        <f t="shared" si="2"/>
        <v>200</v>
      </c>
      <c r="N19" s="44" t="s">
        <v>30</v>
      </c>
      <c r="O19" s="45">
        <v>0.32200000000000001</v>
      </c>
      <c r="P19" s="45">
        <f t="shared" si="3"/>
        <v>3.22</v>
      </c>
      <c r="Q19" s="45">
        <v>0.1825</v>
      </c>
      <c r="R19" s="45">
        <f t="shared" si="4"/>
        <v>18.25</v>
      </c>
      <c r="S19" s="143">
        <v>0.1825</v>
      </c>
      <c r="T19" s="45">
        <f t="shared" si="5"/>
        <v>36.5</v>
      </c>
      <c r="U19" s="66"/>
      <c r="V19" s="137"/>
      <c r="W19" s="137"/>
    </row>
    <row r="20" spans="1:23">
      <c r="A20" s="2">
        <v>18</v>
      </c>
      <c r="B20" s="208" t="s">
        <v>128</v>
      </c>
      <c r="C20" s="154" t="s">
        <v>129</v>
      </c>
      <c r="D20" s="155" t="s">
        <v>130</v>
      </c>
      <c r="E20" s="155" t="s">
        <v>131</v>
      </c>
      <c r="F20" s="155" t="s">
        <v>132</v>
      </c>
      <c r="G20" s="5" t="s">
        <v>133</v>
      </c>
      <c r="H20" s="155" t="s">
        <v>28</v>
      </c>
      <c r="I20" s="155" t="s">
        <v>120</v>
      </c>
      <c r="J20" s="5">
        <v>1</v>
      </c>
      <c r="K20" s="106">
        <f t="shared" si="0"/>
        <v>5</v>
      </c>
      <c r="L20" s="106">
        <f t="shared" si="1"/>
        <v>50</v>
      </c>
      <c r="M20" s="106">
        <f t="shared" si="2"/>
        <v>100</v>
      </c>
      <c r="N20" s="25" t="s">
        <v>30</v>
      </c>
      <c r="O20" s="41">
        <v>0.52</v>
      </c>
      <c r="P20" s="121">
        <f t="shared" si="3"/>
        <v>2.6</v>
      </c>
      <c r="Q20" s="41">
        <v>0.41799999999999998</v>
      </c>
      <c r="R20" s="121">
        <f t="shared" si="4"/>
        <v>20.9</v>
      </c>
      <c r="S20" s="131">
        <v>0.28439999999999999</v>
      </c>
      <c r="T20" s="121">
        <f t="shared" si="5"/>
        <v>28.439999999999998</v>
      </c>
      <c r="U20" s="67" t="s">
        <v>134</v>
      </c>
      <c r="V20" s="135"/>
      <c r="W20" s="135"/>
    </row>
    <row r="21" spans="1:23" ht="15.75" customHeight="1">
      <c r="A21" s="2">
        <v>19</v>
      </c>
      <c r="B21" s="210"/>
      <c r="C21" s="157" t="s">
        <v>135</v>
      </c>
      <c r="D21" s="158" t="s">
        <v>136</v>
      </c>
      <c r="E21" s="158" t="s">
        <v>131</v>
      </c>
      <c r="F21" s="158" t="s">
        <v>137</v>
      </c>
      <c r="G21" s="8" t="s">
        <v>118</v>
      </c>
      <c r="H21" s="158" t="s">
        <v>28</v>
      </c>
      <c r="I21" s="172" t="s">
        <v>120</v>
      </c>
      <c r="J21" s="8">
        <v>1</v>
      </c>
      <c r="K21" s="107">
        <f t="shared" si="0"/>
        <v>5</v>
      </c>
      <c r="L21" s="107">
        <f t="shared" si="1"/>
        <v>50</v>
      </c>
      <c r="M21" s="107">
        <f t="shared" si="2"/>
        <v>100</v>
      </c>
      <c r="N21" s="28" t="s">
        <v>30</v>
      </c>
      <c r="O21" s="30">
        <v>0.47</v>
      </c>
      <c r="P21" s="115">
        <f t="shared" si="3"/>
        <v>2.3499999999999996</v>
      </c>
      <c r="Q21" s="30">
        <v>0.34699999999999998</v>
      </c>
      <c r="R21" s="115">
        <f t="shared" si="4"/>
        <v>17.349999999999998</v>
      </c>
      <c r="S21" s="134">
        <v>0.1963</v>
      </c>
      <c r="T21" s="115">
        <f t="shared" si="5"/>
        <v>19.63</v>
      </c>
      <c r="U21" s="68" t="s">
        <v>134</v>
      </c>
      <c r="V21" s="135"/>
      <c r="W21" s="135"/>
    </row>
    <row r="22" spans="1:23" ht="15.75" customHeight="1">
      <c r="A22" s="2">
        <v>20</v>
      </c>
      <c r="B22" s="210"/>
      <c r="C22" s="157" t="s">
        <v>138</v>
      </c>
      <c r="D22" s="158" t="s">
        <v>139</v>
      </c>
      <c r="E22" s="158" t="s">
        <v>131</v>
      </c>
      <c r="F22" s="158" t="s">
        <v>140</v>
      </c>
      <c r="G22" s="8" t="s">
        <v>141</v>
      </c>
      <c r="H22" s="158" t="s">
        <v>28</v>
      </c>
      <c r="I22" s="172" t="s">
        <v>120</v>
      </c>
      <c r="J22" s="8">
        <v>1</v>
      </c>
      <c r="K22" s="107">
        <f t="shared" si="0"/>
        <v>5</v>
      </c>
      <c r="L22" s="107">
        <f t="shared" si="1"/>
        <v>50</v>
      </c>
      <c r="M22" s="107">
        <f t="shared" si="2"/>
        <v>100</v>
      </c>
      <c r="N22" s="28" t="s">
        <v>30</v>
      </c>
      <c r="O22" s="30">
        <v>0.67</v>
      </c>
      <c r="P22" s="115">
        <f t="shared" si="3"/>
        <v>3.35</v>
      </c>
      <c r="Q22" s="30">
        <v>0.59099999999999997</v>
      </c>
      <c r="R22" s="115">
        <f t="shared" si="4"/>
        <v>29.549999999999997</v>
      </c>
      <c r="S22" s="134">
        <v>0.4531</v>
      </c>
      <c r="T22" s="115">
        <f t="shared" si="5"/>
        <v>45.31</v>
      </c>
      <c r="U22" s="68" t="s">
        <v>134</v>
      </c>
      <c r="V22" s="135"/>
      <c r="W22" s="135"/>
    </row>
    <row r="23" spans="1:23" ht="15.75" customHeight="1">
      <c r="A23" s="2">
        <v>21</v>
      </c>
      <c r="B23" s="210"/>
      <c r="C23" s="157" t="s">
        <v>142</v>
      </c>
      <c r="D23" s="158" t="s">
        <v>143</v>
      </c>
      <c r="E23" s="158" t="s">
        <v>131</v>
      </c>
      <c r="F23" s="158" t="s">
        <v>144</v>
      </c>
      <c r="G23" s="8" t="s">
        <v>133</v>
      </c>
      <c r="H23" s="158" t="s">
        <v>28</v>
      </c>
      <c r="I23" s="172" t="s">
        <v>120</v>
      </c>
      <c r="J23" s="8">
        <v>1</v>
      </c>
      <c r="K23" s="107">
        <f t="shared" si="0"/>
        <v>5</v>
      </c>
      <c r="L23" s="107">
        <f t="shared" si="1"/>
        <v>50</v>
      </c>
      <c r="M23" s="107">
        <f t="shared" si="2"/>
        <v>100</v>
      </c>
      <c r="N23" s="162" t="s">
        <v>30</v>
      </c>
      <c r="O23" s="30">
        <v>0.55000000000000004</v>
      </c>
      <c r="P23" s="115">
        <f t="shared" si="3"/>
        <v>2.75</v>
      </c>
      <c r="Q23" s="30">
        <v>0.44800000000000001</v>
      </c>
      <c r="R23" s="115">
        <f t="shared" si="4"/>
        <v>22.400000000000002</v>
      </c>
      <c r="S23" s="134">
        <v>0.30520000000000003</v>
      </c>
      <c r="T23" s="115">
        <f t="shared" si="5"/>
        <v>30.520000000000003</v>
      </c>
      <c r="U23" s="68" t="s">
        <v>134</v>
      </c>
      <c r="V23" s="135"/>
      <c r="W23" s="135"/>
    </row>
    <row r="24" spans="1:23">
      <c r="A24" s="2">
        <v>22</v>
      </c>
      <c r="B24" s="210"/>
      <c r="C24" s="173" t="s">
        <v>145</v>
      </c>
      <c r="D24" s="174" t="s">
        <v>146</v>
      </c>
      <c r="E24" s="174" t="s">
        <v>147</v>
      </c>
      <c r="F24" s="174" t="s">
        <v>148</v>
      </c>
      <c r="G24" s="174" t="s">
        <v>149</v>
      </c>
      <c r="H24" s="108"/>
      <c r="I24" s="46"/>
      <c r="J24" s="8">
        <v>1</v>
      </c>
      <c r="K24" s="107">
        <f t="shared" si="0"/>
        <v>5</v>
      </c>
      <c r="L24" s="107">
        <f t="shared" si="1"/>
        <v>50</v>
      </c>
      <c r="M24" s="107">
        <f t="shared" si="2"/>
        <v>100</v>
      </c>
      <c r="N24" s="123" t="s">
        <v>30</v>
      </c>
      <c r="O24" s="48">
        <v>0.55000000000000004</v>
      </c>
      <c r="P24" s="115">
        <f t="shared" si="3"/>
        <v>2.75</v>
      </c>
      <c r="Q24" s="48">
        <v>0.44500000000000001</v>
      </c>
      <c r="R24" s="115">
        <f t="shared" si="4"/>
        <v>22.25</v>
      </c>
      <c r="S24" s="48">
        <v>0.30309999999999998</v>
      </c>
      <c r="T24" s="115">
        <f t="shared" si="5"/>
        <v>30.31</v>
      </c>
      <c r="U24" s="140"/>
      <c r="V24" s="135"/>
      <c r="W24" s="135"/>
    </row>
    <row r="25" spans="1:23">
      <c r="A25" s="2">
        <v>23</v>
      </c>
      <c r="B25" s="209"/>
      <c r="C25" s="167" t="s">
        <v>150</v>
      </c>
      <c r="D25" s="168" t="s">
        <v>151</v>
      </c>
      <c r="E25" s="168" t="s">
        <v>131</v>
      </c>
      <c r="F25" s="168" t="s">
        <v>152</v>
      </c>
      <c r="G25" s="109" t="s">
        <v>153</v>
      </c>
      <c r="H25" s="168" t="s">
        <v>28</v>
      </c>
      <c r="I25" s="175" t="s">
        <v>120</v>
      </c>
      <c r="J25" s="15">
        <v>1</v>
      </c>
      <c r="K25" s="109">
        <f t="shared" si="0"/>
        <v>5</v>
      </c>
      <c r="L25" s="109">
        <f t="shared" si="1"/>
        <v>50</v>
      </c>
      <c r="M25" s="109">
        <f t="shared" si="2"/>
        <v>100</v>
      </c>
      <c r="N25" s="124" t="s">
        <v>30</v>
      </c>
      <c r="O25" s="43">
        <v>0.64</v>
      </c>
      <c r="P25" s="122">
        <f t="shared" si="3"/>
        <v>3.2</v>
      </c>
      <c r="Q25" s="43">
        <v>0.55100000000000005</v>
      </c>
      <c r="R25" s="122">
        <f t="shared" si="4"/>
        <v>27.55</v>
      </c>
      <c r="S25" s="144">
        <v>0.41110000000000002</v>
      </c>
      <c r="T25" s="122">
        <f t="shared" si="5"/>
        <v>41.11</v>
      </c>
      <c r="U25" s="142"/>
      <c r="V25" s="135"/>
      <c r="W25" s="135"/>
    </row>
    <row r="26" spans="1:23">
      <c r="A26" s="2">
        <v>24</v>
      </c>
      <c r="B26" s="210" t="s">
        <v>154</v>
      </c>
      <c r="C26" s="176" t="s">
        <v>155</v>
      </c>
      <c r="D26" s="172" t="s">
        <v>156</v>
      </c>
      <c r="E26" s="172" t="s">
        <v>25</v>
      </c>
      <c r="F26" s="177" t="s">
        <v>157</v>
      </c>
      <c r="G26" s="18" t="s">
        <v>158</v>
      </c>
      <c r="H26" s="172" t="s">
        <v>159</v>
      </c>
      <c r="I26" s="172" t="s">
        <v>120</v>
      </c>
      <c r="J26" s="18">
        <v>1</v>
      </c>
      <c r="K26" s="125">
        <f t="shared" si="0"/>
        <v>5</v>
      </c>
      <c r="L26" s="125">
        <f t="shared" si="1"/>
        <v>50</v>
      </c>
      <c r="M26" s="125">
        <f t="shared" si="2"/>
        <v>100</v>
      </c>
      <c r="N26" s="49" t="s">
        <v>30</v>
      </c>
      <c r="O26" s="50">
        <v>6.32</v>
      </c>
      <c r="P26" s="126">
        <f t="shared" si="3"/>
        <v>31.6</v>
      </c>
      <c r="Q26" s="50">
        <v>5.2472000000000003</v>
      </c>
      <c r="R26" s="126">
        <f t="shared" si="4"/>
        <v>262.36</v>
      </c>
      <c r="S26" s="145">
        <v>4.5328999999999997</v>
      </c>
      <c r="T26" s="126">
        <f t="shared" si="5"/>
        <v>453.28999999999996</v>
      </c>
      <c r="U26" s="59" t="s">
        <v>37</v>
      </c>
      <c r="V26" s="135"/>
      <c r="W26" s="135"/>
    </row>
    <row r="27" spans="1:23">
      <c r="A27" s="2">
        <v>25</v>
      </c>
      <c r="B27" s="210"/>
      <c r="C27" s="164" t="s">
        <v>160</v>
      </c>
      <c r="D27" s="165" t="s">
        <v>161</v>
      </c>
      <c r="E27" s="165" t="s">
        <v>25</v>
      </c>
      <c r="F27" s="165" t="s">
        <v>162</v>
      </c>
      <c r="G27" s="11" t="s">
        <v>163</v>
      </c>
      <c r="H27" s="165" t="s">
        <v>28</v>
      </c>
      <c r="I27" s="170" t="s">
        <v>120</v>
      </c>
      <c r="J27" s="11">
        <v>1</v>
      </c>
      <c r="K27" s="116">
        <f t="shared" si="0"/>
        <v>5</v>
      </c>
      <c r="L27" s="116">
        <f t="shared" si="1"/>
        <v>50</v>
      </c>
      <c r="M27" s="116">
        <f t="shared" si="2"/>
        <v>100</v>
      </c>
      <c r="N27" s="51" t="s">
        <v>30</v>
      </c>
      <c r="O27" s="36">
        <v>1.01</v>
      </c>
      <c r="P27" s="118">
        <f t="shared" si="3"/>
        <v>5.05</v>
      </c>
      <c r="Q27" s="36">
        <v>0.90959999999999996</v>
      </c>
      <c r="R27" s="118">
        <f t="shared" si="4"/>
        <v>45.48</v>
      </c>
      <c r="S27" s="139">
        <v>0.78979999999999995</v>
      </c>
      <c r="T27" s="118">
        <f t="shared" si="5"/>
        <v>78.97999999999999</v>
      </c>
      <c r="U27" s="140"/>
      <c r="V27" s="135"/>
      <c r="W27" s="135"/>
    </row>
    <row r="28" spans="1:23" ht="25.5">
      <c r="A28" s="2">
        <v>26</v>
      </c>
      <c r="B28" s="110" t="s">
        <v>164</v>
      </c>
      <c r="C28" s="178" t="s">
        <v>165</v>
      </c>
      <c r="D28" s="179" t="s">
        <v>166</v>
      </c>
      <c r="E28" s="179" t="s">
        <v>25</v>
      </c>
      <c r="F28" s="180" t="s">
        <v>167</v>
      </c>
      <c r="G28" s="20" t="s">
        <v>168</v>
      </c>
      <c r="H28" s="20" t="s">
        <v>169</v>
      </c>
      <c r="I28" s="179" t="s">
        <v>120</v>
      </c>
      <c r="J28" s="20">
        <v>1</v>
      </c>
      <c r="K28" s="127">
        <f t="shared" si="0"/>
        <v>5</v>
      </c>
      <c r="L28" s="127">
        <f t="shared" si="1"/>
        <v>50</v>
      </c>
      <c r="M28" s="127">
        <f t="shared" si="2"/>
        <v>100</v>
      </c>
      <c r="N28" s="52" t="s">
        <v>30</v>
      </c>
      <c r="O28" s="53">
        <v>0.68</v>
      </c>
      <c r="P28" s="128">
        <f t="shared" si="3"/>
        <v>3.4000000000000004</v>
      </c>
      <c r="Q28" s="53">
        <v>0.47</v>
      </c>
      <c r="R28" s="128">
        <f t="shared" si="4"/>
        <v>23.5</v>
      </c>
      <c r="S28" s="146">
        <v>0.42720000000000002</v>
      </c>
      <c r="T28" s="128">
        <f t="shared" si="5"/>
        <v>42.72</v>
      </c>
      <c r="U28" s="69" t="s">
        <v>170</v>
      </c>
      <c r="V28" s="135"/>
      <c r="W28" s="135"/>
    </row>
    <row r="29" spans="1:23" ht="15" customHeight="1">
      <c r="A29" s="2">
        <v>27</v>
      </c>
      <c r="B29" s="10" t="s">
        <v>171</v>
      </c>
      <c r="C29" s="169" t="s">
        <v>172</v>
      </c>
      <c r="D29" s="170" t="s">
        <v>173</v>
      </c>
      <c r="E29" s="170" t="s">
        <v>25</v>
      </c>
      <c r="F29" s="170" t="s">
        <v>174</v>
      </c>
      <c r="G29" s="16" t="s">
        <v>175</v>
      </c>
      <c r="H29" s="172" t="s">
        <v>28</v>
      </c>
      <c r="I29" s="170" t="s">
        <v>120</v>
      </c>
      <c r="J29" s="16">
        <v>2</v>
      </c>
      <c r="K29" s="119">
        <f t="shared" si="0"/>
        <v>10</v>
      </c>
      <c r="L29" s="119">
        <f t="shared" si="1"/>
        <v>100</v>
      </c>
      <c r="M29" s="119">
        <f t="shared" si="2"/>
        <v>200</v>
      </c>
      <c r="N29" s="44" t="s">
        <v>30</v>
      </c>
      <c r="O29" s="45">
        <v>0.65400000000000003</v>
      </c>
      <c r="P29" s="129">
        <f t="shared" si="3"/>
        <v>6.54</v>
      </c>
      <c r="Q29" s="45">
        <v>0.52359999999999995</v>
      </c>
      <c r="R29" s="129">
        <f t="shared" si="4"/>
        <v>52.359999999999992</v>
      </c>
      <c r="S29" s="147">
        <v>0.52359999999999995</v>
      </c>
      <c r="T29" s="129">
        <f t="shared" si="5"/>
        <v>104.71999999999998</v>
      </c>
      <c r="U29" s="148"/>
      <c r="V29" s="135"/>
      <c r="W29" s="135"/>
    </row>
    <row r="30" spans="1:23">
      <c r="A30" s="2">
        <v>28</v>
      </c>
      <c r="B30" s="208" t="s">
        <v>176</v>
      </c>
      <c r="C30" s="181" t="s">
        <v>177</v>
      </c>
      <c r="D30" s="155" t="s">
        <v>178</v>
      </c>
      <c r="E30" s="155" t="s">
        <v>179</v>
      </c>
      <c r="F30" s="182" t="s">
        <v>180</v>
      </c>
      <c r="G30" s="5" t="s">
        <v>181</v>
      </c>
      <c r="H30" s="5" t="s">
        <v>182</v>
      </c>
      <c r="I30" s="155" t="s">
        <v>183</v>
      </c>
      <c r="J30" s="5">
        <v>1</v>
      </c>
      <c r="K30" s="106">
        <f t="shared" si="0"/>
        <v>5</v>
      </c>
      <c r="L30" s="106">
        <f t="shared" si="1"/>
        <v>50</v>
      </c>
      <c r="M30" s="106">
        <f t="shared" si="2"/>
        <v>100</v>
      </c>
      <c r="N30" s="54" t="s">
        <v>30</v>
      </c>
      <c r="O30" s="41">
        <v>0.1</v>
      </c>
      <c r="P30" s="121">
        <f t="shared" si="3"/>
        <v>0.5</v>
      </c>
      <c r="Q30" s="41">
        <v>1.2E-2</v>
      </c>
      <c r="R30" s="121">
        <f t="shared" si="4"/>
        <v>0.6</v>
      </c>
      <c r="S30" s="131">
        <v>4.7000000000000002E-3</v>
      </c>
      <c r="T30" s="121">
        <f t="shared" si="5"/>
        <v>0.47000000000000003</v>
      </c>
      <c r="U30" s="141"/>
      <c r="V30" s="135"/>
      <c r="W30" s="135"/>
    </row>
    <row r="31" spans="1:23" ht="15" customHeight="1">
      <c r="A31" s="2">
        <v>29</v>
      </c>
      <c r="B31" s="210"/>
      <c r="C31" s="157" t="s">
        <v>184</v>
      </c>
      <c r="D31" s="158" t="s">
        <v>185</v>
      </c>
      <c r="E31" s="158" t="s">
        <v>186</v>
      </c>
      <c r="F31" s="158" t="s">
        <v>187</v>
      </c>
      <c r="G31" s="8" t="s">
        <v>188</v>
      </c>
      <c r="H31" s="158" t="s">
        <v>28</v>
      </c>
      <c r="I31" s="158" t="s">
        <v>189</v>
      </c>
      <c r="J31" s="8">
        <v>1</v>
      </c>
      <c r="K31" s="107">
        <f t="shared" si="0"/>
        <v>5</v>
      </c>
      <c r="L31" s="107">
        <f t="shared" si="1"/>
        <v>50</v>
      </c>
      <c r="M31" s="107">
        <f t="shared" si="2"/>
        <v>100</v>
      </c>
      <c r="N31" s="28" t="s">
        <v>30</v>
      </c>
      <c r="O31" s="30">
        <v>0.1</v>
      </c>
      <c r="P31" s="115">
        <f t="shared" si="3"/>
        <v>0.5</v>
      </c>
      <c r="Q31" s="30">
        <v>2.7E-2</v>
      </c>
      <c r="R31" s="115">
        <f t="shared" si="4"/>
        <v>1.35</v>
      </c>
      <c r="S31" s="134">
        <v>1.09E-2</v>
      </c>
      <c r="T31" s="115">
        <f t="shared" si="5"/>
        <v>1.0900000000000001</v>
      </c>
      <c r="U31" s="138"/>
      <c r="V31" s="135"/>
      <c r="W31" s="135"/>
    </row>
    <row r="32" spans="1:23" ht="15" customHeight="1">
      <c r="A32" s="2">
        <v>30</v>
      </c>
      <c r="B32" s="210"/>
      <c r="C32" s="157" t="s">
        <v>190</v>
      </c>
      <c r="D32" s="158" t="s">
        <v>191</v>
      </c>
      <c r="E32" s="158" t="s">
        <v>179</v>
      </c>
      <c r="F32" s="158" t="s">
        <v>192</v>
      </c>
      <c r="G32" s="8" t="s">
        <v>104</v>
      </c>
      <c r="H32" s="158" t="s">
        <v>28</v>
      </c>
      <c r="I32" s="158" t="s">
        <v>193</v>
      </c>
      <c r="J32" s="8">
        <v>6</v>
      </c>
      <c r="K32" s="107">
        <f t="shared" si="0"/>
        <v>30</v>
      </c>
      <c r="L32" s="107">
        <f t="shared" si="1"/>
        <v>300</v>
      </c>
      <c r="M32" s="107">
        <f t="shared" si="2"/>
        <v>600</v>
      </c>
      <c r="N32" s="28" t="s">
        <v>30</v>
      </c>
      <c r="O32" s="30">
        <v>1.2999999999999999E-2</v>
      </c>
      <c r="P32" s="115">
        <f t="shared" si="3"/>
        <v>0.38999999999999996</v>
      </c>
      <c r="Q32" s="30">
        <v>5.4000000000000003E-3</v>
      </c>
      <c r="R32" s="115">
        <f t="shared" si="4"/>
        <v>1.62</v>
      </c>
      <c r="S32" s="134">
        <v>5.4000000000000003E-3</v>
      </c>
      <c r="T32" s="115">
        <f t="shared" si="5"/>
        <v>3.24</v>
      </c>
      <c r="U32" s="138"/>
      <c r="V32" s="135"/>
      <c r="W32" s="135"/>
    </row>
    <row r="33" spans="1:23">
      <c r="A33" s="2">
        <v>31</v>
      </c>
      <c r="B33" s="210"/>
      <c r="C33" s="157" t="s">
        <v>194</v>
      </c>
      <c r="D33" s="158" t="s">
        <v>195</v>
      </c>
      <c r="E33" s="158" t="s">
        <v>179</v>
      </c>
      <c r="F33" s="158" t="s">
        <v>196</v>
      </c>
      <c r="G33" s="8" t="s">
        <v>104</v>
      </c>
      <c r="H33" s="158" t="s">
        <v>28</v>
      </c>
      <c r="I33" s="158" t="s">
        <v>197</v>
      </c>
      <c r="J33" s="8">
        <v>1</v>
      </c>
      <c r="K33" s="107">
        <f t="shared" si="0"/>
        <v>5</v>
      </c>
      <c r="L33" s="107">
        <f t="shared" si="1"/>
        <v>50</v>
      </c>
      <c r="M33" s="107">
        <f t="shared" si="2"/>
        <v>100</v>
      </c>
      <c r="N33" s="28" t="s">
        <v>30</v>
      </c>
      <c r="O33" s="30">
        <v>0.1</v>
      </c>
      <c r="P33" s="115">
        <f t="shared" si="3"/>
        <v>0.5</v>
      </c>
      <c r="Q33" s="30">
        <v>1.6E-2</v>
      </c>
      <c r="R33" s="115">
        <f t="shared" si="4"/>
        <v>0.8</v>
      </c>
      <c r="S33" s="134">
        <v>6.6E-3</v>
      </c>
      <c r="T33" s="115">
        <f t="shared" si="5"/>
        <v>0.66</v>
      </c>
      <c r="U33" s="138"/>
      <c r="V33" s="135"/>
      <c r="W33" s="135"/>
    </row>
    <row r="34" spans="1:23">
      <c r="A34" s="2">
        <v>32</v>
      </c>
      <c r="B34" s="210"/>
      <c r="C34" s="157" t="s">
        <v>198</v>
      </c>
      <c r="D34" s="158" t="s">
        <v>199</v>
      </c>
      <c r="E34" s="158" t="s">
        <v>179</v>
      </c>
      <c r="F34" s="158" t="s">
        <v>200</v>
      </c>
      <c r="G34" s="8" t="s">
        <v>104</v>
      </c>
      <c r="H34" s="158" t="s">
        <v>28</v>
      </c>
      <c r="I34" s="158" t="s">
        <v>201</v>
      </c>
      <c r="J34" s="8">
        <v>1</v>
      </c>
      <c r="K34" s="107">
        <f t="shared" si="0"/>
        <v>5</v>
      </c>
      <c r="L34" s="107">
        <f t="shared" si="1"/>
        <v>50</v>
      </c>
      <c r="M34" s="107">
        <f t="shared" si="2"/>
        <v>100</v>
      </c>
      <c r="N34" s="28" t="s">
        <v>30</v>
      </c>
      <c r="O34" s="30">
        <v>0.1</v>
      </c>
      <c r="P34" s="115">
        <f t="shared" si="3"/>
        <v>0.5</v>
      </c>
      <c r="Q34" s="30">
        <v>2.1999999999999999E-2</v>
      </c>
      <c r="R34" s="115">
        <f t="shared" si="4"/>
        <v>1.0999999999999999</v>
      </c>
      <c r="S34" s="134">
        <v>8.9999999999999993E-3</v>
      </c>
      <c r="T34" s="115">
        <f t="shared" si="5"/>
        <v>0.89999999999999991</v>
      </c>
      <c r="U34" s="138"/>
      <c r="V34" s="135"/>
      <c r="W34" s="135"/>
    </row>
    <row r="35" spans="1:23">
      <c r="A35" s="2">
        <v>33</v>
      </c>
      <c r="B35" s="210"/>
      <c r="C35" s="157" t="s">
        <v>202</v>
      </c>
      <c r="D35" s="174" t="s">
        <v>203</v>
      </c>
      <c r="E35" s="158" t="s">
        <v>179</v>
      </c>
      <c r="F35" s="159" t="s">
        <v>204</v>
      </c>
      <c r="G35" s="8" t="s">
        <v>205</v>
      </c>
      <c r="H35" s="21" t="s">
        <v>206</v>
      </c>
      <c r="I35" s="158" t="s">
        <v>207</v>
      </c>
      <c r="J35" s="8">
        <v>9</v>
      </c>
      <c r="K35" s="107">
        <f t="shared" si="0"/>
        <v>45</v>
      </c>
      <c r="L35" s="107">
        <f t="shared" si="1"/>
        <v>450</v>
      </c>
      <c r="M35" s="107">
        <f t="shared" si="2"/>
        <v>900</v>
      </c>
      <c r="N35" s="28" t="s">
        <v>30</v>
      </c>
      <c r="O35" s="30">
        <v>0.223</v>
      </c>
      <c r="P35" s="115">
        <f t="shared" si="3"/>
        <v>10.035</v>
      </c>
      <c r="Q35" s="30">
        <v>8.6999999999999994E-2</v>
      </c>
      <c r="R35" s="115">
        <f t="shared" si="4"/>
        <v>39.15</v>
      </c>
      <c r="S35" s="134">
        <v>8.6999999999999994E-2</v>
      </c>
      <c r="T35" s="115">
        <f t="shared" si="5"/>
        <v>78.3</v>
      </c>
      <c r="U35" s="138"/>
      <c r="V35" s="135"/>
      <c r="W35" s="135"/>
    </row>
    <row r="36" spans="1:23">
      <c r="A36" s="2">
        <v>34</v>
      </c>
      <c r="B36" s="210"/>
      <c r="C36" s="157" t="s">
        <v>208</v>
      </c>
      <c r="D36" s="158" t="s">
        <v>209</v>
      </c>
      <c r="E36" s="158" t="s">
        <v>179</v>
      </c>
      <c r="F36" s="158" t="s">
        <v>210</v>
      </c>
      <c r="G36" s="8" t="s">
        <v>104</v>
      </c>
      <c r="H36" s="158" t="s">
        <v>28</v>
      </c>
      <c r="I36" s="158" t="s">
        <v>211</v>
      </c>
      <c r="J36" s="8">
        <v>1</v>
      </c>
      <c r="K36" s="107">
        <f t="shared" si="0"/>
        <v>5</v>
      </c>
      <c r="L36" s="107">
        <f t="shared" si="1"/>
        <v>50</v>
      </c>
      <c r="M36" s="107">
        <f t="shared" si="2"/>
        <v>100</v>
      </c>
      <c r="N36" s="28" t="s">
        <v>79</v>
      </c>
      <c r="O36" s="30">
        <v>0.10100000000000001</v>
      </c>
      <c r="P36" s="115">
        <f t="shared" si="3"/>
        <v>0.505</v>
      </c>
      <c r="Q36" s="30">
        <v>1.6E-2</v>
      </c>
      <c r="R36" s="115">
        <f t="shared" si="4"/>
        <v>0.8</v>
      </c>
      <c r="S36" s="134">
        <v>7.0000000000000001E-3</v>
      </c>
      <c r="T36" s="115">
        <f t="shared" si="5"/>
        <v>0.70000000000000007</v>
      </c>
      <c r="U36" s="138"/>
      <c r="V36" s="135"/>
      <c r="W36" s="135"/>
    </row>
    <row r="37" spans="1:23">
      <c r="A37" s="2">
        <v>35</v>
      </c>
      <c r="B37" s="210"/>
      <c r="C37" s="157" t="s">
        <v>212</v>
      </c>
      <c r="D37" s="158" t="s">
        <v>213</v>
      </c>
      <c r="E37" s="158" t="s">
        <v>179</v>
      </c>
      <c r="F37" s="159" t="s">
        <v>214</v>
      </c>
      <c r="G37" s="8" t="s">
        <v>205</v>
      </c>
      <c r="H37" s="8" t="s">
        <v>215</v>
      </c>
      <c r="I37" s="158" t="s">
        <v>216</v>
      </c>
      <c r="J37" s="8">
        <v>1</v>
      </c>
      <c r="K37" s="107">
        <f t="shared" si="0"/>
        <v>5</v>
      </c>
      <c r="L37" s="107">
        <f t="shared" si="1"/>
        <v>50</v>
      </c>
      <c r="M37" s="107">
        <f t="shared" si="2"/>
        <v>100</v>
      </c>
      <c r="N37" s="28" t="s">
        <v>30</v>
      </c>
      <c r="O37" s="30">
        <v>0.1</v>
      </c>
      <c r="P37" s="115">
        <f t="shared" si="3"/>
        <v>0.5</v>
      </c>
      <c r="Q37" s="30">
        <v>1.4999999999999999E-2</v>
      </c>
      <c r="R37" s="115">
        <f t="shared" si="4"/>
        <v>0.75</v>
      </c>
      <c r="S37" s="134">
        <v>6.1000000000000004E-3</v>
      </c>
      <c r="T37" s="115">
        <f t="shared" si="5"/>
        <v>0.61</v>
      </c>
      <c r="U37" s="138"/>
      <c r="V37" s="135"/>
      <c r="W37" s="135"/>
    </row>
    <row r="38" spans="1:23">
      <c r="A38" s="2">
        <v>36</v>
      </c>
      <c r="B38" s="210"/>
      <c r="C38" s="157" t="s">
        <v>217</v>
      </c>
      <c r="D38" s="158" t="s">
        <v>218</v>
      </c>
      <c r="E38" s="158" t="s">
        <v>179</v>
      </c>
      <c r="F38" s="159" t="s">
        <v>219</v>
      </c>
      <c r="G38" s="8" t="s">
        <v>104</v>
      </c>
      <c r="H38" s="8" t="s">
        <v>220</v>
      </c>
      <c r="I38" s="158" t="s">
        <v>221</v>
      </c>
      <c r="J38" s="8">
        <v>4</v>
      </c>
      <c r="K38" s="107">
        <f t="shared" si="0"/>
        <v>20</v>
      </c>
      <c r="L38" s="107">
        <f t="shared" si="1"/>
        <v>200</v>
      </c>
      <c r="M38" s="107">
        <f t="shared" si="2"/>
        <v>400</v>
      </c>
      <c r="N38" s="28" t="s">
        <v>30</v>
      </c>
      <c r="O38" s="30">
        <v>1.2E-2</v>
      </c>
      <c r="P38" s="115">
        <f t="shared" si="3"/>
        <v>0.24</v>
      </c>
      <c r="Q38" s="30">
        <v>4.7000000000000002E-3</v>
      </c>
      <c r="R38" s="115">
        <f t="shared" si="4"/>
        <v>0.94000000000000006</v>
      </c>
      <c r="S38" s="134">
        <v>3.5999999999999999E-3</v>
      </c>
      <c r="T38" s="115">
        <f t="shared" si="5"/>
        <v>1.44</v>
      </c>
      <c r="U38" s="138"/>
      <c r="V38" s="135"/>
      <c r="W38" s="135"/>
    </row>
    <row r="39" spans="1:23">
      <c r="A39" s="2">
        <v>37</v>
      </c>
      <c r="B39" s="210"/>
      <c r="C39" s="157" t="s">
        <v>222</v>
      </c>
      <c r="D39" s="158" t="s">
        <v>223</v>
      </c>
      <c r="E39" s="158" t="s">
        <v>179</v>
      </c>
      <c r="F39" s="158" t="s">
        <v>224</v>
      </c>
      <c r="G39" s="8" t="s">
        <v>104</v>
      </c>
      <c r="H39" s="158" t="s">
        <v>28</v>
      </c>
      <c r="I39" s="158" t="s">
        <v>225</v>
      </c>
      <c r="J39" s="8">
        <v>3</v>
      </c>
      <c r="K39" s="107">
        <f t="shared" si="0"/>
        <v>15</v>
      </c>
      <c r="L39" s="107">
        <f t="shared" si="1"/>
        <v>150</v>
      </c>
      <c r="M39" s="107">
        <f t="shared" si="2"/>
        <v>300</v>
      </c>
      <c r="N39" s="28" t="s">
        <v>30</v>
      </c>
      <c r="O39" s="30">
        <v>1.6E-2</v>
      </c>
      <c r="P39" s="115">
        <f t="shared" si="3"/>
        <v>0.24</v>
      </c>
      <c r="Q39" s="30">
        <v>6.6E-3</v>
      </c>
      <c r="R39" s="115">
        <f t="shared" si="4"/>
        <v>0.99</v>
      </c>
      <c r="S39" s="134">
        <v>6.6E-3</v>
      </c>
      <c r="T39" s="115">
        <f t="shared" si="5"/>
        <v>1.98</v>
      </c>
      <c r="U39" s="138"/>
      <c r="V39" s="135"/>
      <c r="W39" s="135"/>
    </row>
    <row r="40" spans="1:23">
      <c r="A40" s="2">
        <v>38</v>
      </c>
      <c r="B40" s="210"/>
      <c r="C40" s="157" t="s">
        <v>226</v>
      </c>
      <c r="D40" s="158" t="s">
        <v>227</v>
      </c>
      <c r="E40" s="158" t="s">
        <v>179</v>
      </c>
      <c r="F40" s="159" t="s">
        <v>228</v>
      </c>
      <c r="G40" s="8" t="s">
        <v>27</v>
      </c>
      <c r="H40" s="8" t="s">
        <v>229</v>
      </c>
      <c r="I40" s="158" t="s">
        <v>230</v>
      </c>
      <c r="J40" s="8">
        <v>2</v>
      </c>
      <c r="K40" s="107">
        <f t="shared" si="0"/>
        <v>10</v>
      </c>
      <c r="L40" s="107">
        <f t="shared" si="1"/>
        <v>100</v>
      </c>
      <c r="M40" s="107">
        <f t="shared" si="2"/>
        <v>200</v>
      </c>
      <c r="N40" s="28" t="s">
        <v>30</v>
      </c>
      <c r="O40" s="30">
        <v>1.2999999999999999E-2</v>
      </c>
      <c r="P40" s="115">
        <f t="shared" si="3"/>
        <v>0.13</v>
      </c>
      <c r="Q40" s="30">
        <v>5.4000000000000003E-3</v>
      </c>
      <c r="R40" s="115">
        <f t="shared" si="4"/>
        <v>0.54</v>
      </c>
      <c r="S40" s="134">
        <v>5.4000000000000003E-3</v>
      </c>
      <c r="T40" s="115">
        <f t="shared" si="5"/>
        <v>1.08</v>
      </c>
      <c r="U40" s="138"/>
      <c r="V40" s="135"/>
      <c r="W40" s="135"/>
    </row>
    <row r="41" spans="1:23">
      <c r="A41" s="2">
        <v>39</v>
      </c>
      <c r="B41" s="210"/>
      <c r="C41" s="173" t="s">
        <v>231</v>
      </c>
      <c r="D41" s="174" t="s">
        <v>232</v>
      </c>
      <c r="E41" s="174" t="s">
        <v>179</v>
      </c>
      <c r="F41" s="183" t="s">
        <v>233</v>
      </c>
      <c r="G41" s="174" t="s">
        <v>27</v>
      </c>
      <c r="H41" s="107" t="s">
        <v>234</v>
      </c>
      <c r="I41" s="8" t="s">
        <v>235</v>
      </c>
      <c r="J41" s="8">
        <v>4</v>
      </c>
      <c r="K41" s="107">
        <f t="shared" si="0"/>
        <v>20</v>
      </c>
      <c r="L41" s="107">
        <f t="shared" si="1"/>
        <v>200</v>
      </c>
      <c r="M41" s="107">
        <f t="shared" si="2"/>
        <v>400</v>
      </c>
      <c r="N41" s="55" t="s">
        <v>30</v>
      </c>
      <c r="O41" s="48">
        <v>1.2999999999999999E-2</v>
      </c>
      <c r="P41" s="115">
        <f t="shared" si="3"/>
        <v>0.26</v>
      </c>
      <c r="Q41" s="48">
        <v>5.4000000000000003E-3</v>
      </c>
      <c r="R41" s="115">
        <f t="shared" si="4"/>
        <v>1.08</v>
      </c>
      <c r="S41" s="48">
        <v>5.4000000000000003E-3</v>
      </c>
      <c r="T41" s="115">
        <f t="shared" si="5"/>
        <v>2.16</v>
      </c>
      <c r="U41" s="70" t="s">
        <v>236</v>
      </c>
      <c r="V41" s="135"/>
      <c r="W41" s="135"/>
    </row>
    <row r="42" spans="1:23">
      <c r="A42" s="2">
        <v>40</v>
      </c>
      <c r="B42" s="210"/>
      <c r="C42" s="173" t="s">
        <v>237</v>
      </c>
      <c r="D42" s="174" t="s">
        <v>238</v>
      </c>
      <c r="E42" s="174" t="s">
        <v>239</v>
      </c>
      <c r="F42" s="174" t="s">
        <v>240</v>
      </c>
      <c r="G42" s="174" t="s">
        <v>104</v>
      </c>
      <c r="H42" s="8"/>
      <c r="I42" s="8" t="s">
        <v>241</v>
      </c>
      <c r="J42" s="8">
        <v>1</v>
      </c>
      <c r="K42" s="107">
        <f t="shared" si="0"/>
        <v>5</v>
      </c>
      <c r="L42" s="107">
        <f t="shared" si="1"/>
        <v>50</v>
      </c>
      <c r="M42" s="107">
        <f t="shared" si="2"/>
        <v>100</v>
      </c>
      <c r="N42" s="55" t="s">
        <v>30</v>
      </c>
      <c r="O42" s="48">
        <v>0.1</v>
      </c>
      <c r="P42" s="115">
        <f t="shared" si="3"/>
        <v>0.5</v>
      </c>
      <c r="Q42" s="48">
        <v>2.4E-2</v>
      </c>
      <c r="R42" s="115">
        <f t="shared" si="4"/>
        <v>1.2</v>
      </c>
      <c r="S42" s="48">
        <v>9.7000000000000003E-3</v>
      </c>
      <c r="T42" s="115">
        <f t="shared" si="5"/>
        <v>0.97</v>
      </c>
      <c r="U42" s="138"/>
      <c r="V42" s="135"/>
      <c r="W42" s="135"/>
    </row>
    <row r="43" spans="1:23">
      <c r="A43" s="2">
        <v>41</v>
      </c>
      <c r="B43" s="210"/>
      <c r="C43" s="157" t="s">
        <v>242</v>
      </c>
      <c r="D43" s="158" t="s">
        <v>243</v>
      </c>
      <c r="E43" s="158" t="s">
        <v>244</v>
      </c>
      <c r="F43" s="159" t="s">
        <v>245</v>
      </c>
      <c r="G43" s="8" t="s">
        <v>246</v>
      </c>
      <c r="H43" s="8" t="s">
        <v>247</v>
      </c>
      <c r="I43" s="158" t="s">
        <v>248</v>
      </c>
      <c r="J43" s="8">
        <v>1</v>
      </c>
      <c r="K43" s="107">
        <f t="shared" si="0"/>
        <v>5</v>
      </c>
      <c r="L43" s="107">
        <f t="shared" si="1"/>
        <v>50</v>
      </c>
      <c r="M43" s="107">
        <f t="shared" si="2"/>
        <v>100</v>
      </c>
      <c r="N43" s="28" t="s">
        <v>30</v>
      </c>
      <c r="O43" s="30">
        <v>0.3</v>
      </c>
      <c r="P43" s="115">
        <f t="shared" si="3"/>
        <v>1.5</v>
      </c>
      <c r="Q43" s="30">
        <v>0.13339999999999999</v>
      </c>
      <c r="R43" s="115">
        <f t="shared" si="4"/>
        <v>6.67</v>
      </c>
      <c r="S43" s="134">
        <v>9.8900000000000002E-2</v>
      </c>
      <c r="T43" s="115">
        <f t="shared" si="5"/>
        <v>9.89</v>
      </c>
      <c r="U43" s="138"/>
      <c r="V43" s="135"/>
      <c r="W43" s="135"/>
    </row>
    <row r="44" spans="1:23">
      <c r="A44" s="2">
        <v>42</v>
      </c>
      <c r="B44" s="210"/>
      <c r="C44" s="157" t="s">
        <v>249</v>
      </c>
      <c r="D44" s="158" t="s">
        <v>250</v>
      </c>
      <c r="E44" s="158" t="s">
        <v>179</v>
      </c>
      <c r="F44" s="159" t="s">
        <v>251</v>
      </c>
      <c r="G44" s="8" t="s">
        <v>104</v>
      </c>
      <c r="H44" s="8" t="s">
        <v>252</v>
      </c>
      <c r="I44" s="158" t="s">
        <v>253</v>
      </c>
      <c r="J44" s="8">
        <v>2</v>
      </c>
      <c r="K44" s="107">
        <f t="shared" si="0"/>
        <v>10</v>
      </c>
      <c r="L44" s="107">
        <f t="shared" si="1"/>
        <v>100</v>
      </c>
      <c r="M44" s="107">
        <f t="shared" si="2"/>
        <v>200</v>
      </c>
      <c r="N44" s="28" t="s">
        <v>30</v>
      </c>
      <c r="O44" s="30">
        <v>1.2E-2</v>
      </c>
      <c r="P44" s="115">
        <f t="shared" si="3"/>
        <v>0.12</v>
      </c>
      <c r="Q44" s="30">
        <v>4.7000000000000002E-3</v>
      </c>
      <c r="R44" s="115">
        <f t="shared" si="4"/>
        <v>0.47000000000000003</v>
      </c>
      <c r="S44" s="134">
        <v>4.7000000000000002E-3</v>
      </c>
      <c r="T44" s="115">
        <f t="shared" si="5"/>
        <v>0.94000000000000006</v>
      </c>
      <c r="U44" s="138"/>
      <c r="V44" s="135"/>
      <c r="W44" s="135"/>
    </row>
    <row r="45" spans="1:23">
      <c r="A45" s="2">
        <v>43</v>
      </c>
      <c r="B45" s="210"/>
      <c r="C45" s="157" t="s">
        <v>254</v>
      </c>
      <c r="D45" s="158" t="s">
        <v>255</v>
      </c>
      <c r="E45" s="158" t="s">
        <v>179</v>
      </c>
      <c r="F45" s="158" t="s">
        <v>256</v>
      </c>
      <c r="G45" s="8" t="s">
        <v>104</v>
      </c>
      <c r="H45" s="158" t="s">
        <v>28</v>
      </c>
      <c r="I45" s="158" t="s">
        <v>257</v>
      </c>
      <c r="J45" s="8">
        <v>1</v>
      </c>
      <c r="K45" s="107">
        <f t="shared" si="0"/>
        <v>5</v>
      </c>
      <c r="L45" s="107">
        <f t="shared" si="1"/>
        <v>50</v>
      </c>
      <c r="M45" s="107">
        <f t="shared" si="2"/>
        <v>100</v>
      </c>
      <c r="N45" s="28" t="s">
        <v>30</v>
      </c>
      <c r="O45" s="30">
        <v>0.1</v>
      </c>
      <c r="P45" s="115">
        <f t="shared" si="3"/>
        <v>0.5</v>
      </c>
      <c r="Q45" s="30">
        <v>2.1999999999999999E-2</v>
      </c>
      <c r="R45" s="115">
        <f t="shared" si="4"/>
        <v>1.0999999999999999</v>
      </c>
      <c r="S45" s="134">
        <v>8.9999999999999993E-3</v>
      </c>
      <c r="T45" s="115">
        <f t="shared" si="5"/>
        <v>0.89999999999999991</v>
      </c>
      <c r="U45" s="138"/>
      <c r="V45" s="135"/>
      <c r="W45" s="135"/>
    </row>
    <row r="46" spans="1:23">
      <c r="A46" s="2">
        <v>44</v>
      </c>
      <c r="B46" s="210"/>
      <c r="C46" s="157" t="s">
        <v>258</v>
      </c>
      <c r="D46" s="158" t="s">
        <v>259</v>
      </c>
      <c r="E46" s="158" t="s">
        <v>179</v>
      </c>
      <c r="F46" s="158" t="s">
        <v>260</v>
      </c>
      <c r="G46" s="8" t="s">
        <v>104</v>
      </c>
      <c r="H46" s="158" t="s">
        <v>28</v>
      </c>
      <c r="I46" s="158" t="s">
        <v>261</v>
      </c>
      <c r="J46" s="8">
        <v>1</v>
      </c>
      <c r="K46" s="107">
        <f t="shared" si="0"/>
        <v>5</v>
      </c>
      <c r="L46" s="107">
        <f t="shared" si="1"/>
        <v>50</v>
      </c>
      <c r="M46" s="107">
        <f t="shared" si="2"/>
        <v>100</v>
      </c>
      <c r="N46" s="28" t="s">
        <v>30</v>
      </c>
      <c r="O46" s="30">
        <v>0.1</v>
      </c>
      <c r="P46" s="115">
        <f t="shared" si="3"/>
        <v>0.5</v>
      </c>
      <c r="Q46" s="30">
        <v>1.6E-2</v>
      </c>
      <c r="R46" s="115">
        <f t="shared" si="4"/>
        <v>0.8</v>
      </c>
      <c r="S46" s="134">
        <v>6.6E-3</v>
      </c>
      <c r="T46" s="115">
        <f t="shared" si="5"/>
        <v>0.66</v>
      </c>
      <c r="U46" s="138"/>
      <c r="V46" s="135"/>
      <c r="W46" s="135"/>
    </row>
    <row r="47" spans="1:23">
      <c r="A47" s="2">
        <v>45</v>
      </c>
      <c r="B47" s="210"/>
      <c r="C47" s="173" t="s">
        <v>262</v>
      </c>
      <c r="D47" s="174" t="s">
        <v>263</v>
      </c>
      <c r="E47" s="174" t="s">
        <v>239</v>
      </c>
      <c r="F47" s="183" t="s">
        <v>264</v>
      </c>
      <c r="G47" s="174" t="s">
        <v>104</v>
      </c>
      <c r="H47" s="108" t="s">
        <v>265</v>
      </c>
      <c r="I47" s="56" t="s">
        <v>266</v>
      </c>
      <c r="J47" s="8">
        <v>1</v>
      </c>
      <c r="K47" s="107">
        <f t="shared" si="0"/>
        <v>5</v>
      </c>
      <c r="L47" s="107">
        <f t="shared" si="1"/>
        <v>50</v>
      </c>
      <c r="M47" s="107">
        <f t="shared" si="2"/>
        <v>100</v>
      </c>
      <c r="N47" s="55" t="s">
        <v>30</v>
      </c>
      <c r="O47" s="48">
        <v>0.1</v>
      </c>
      <c r="P47" s="115">
        <f t="shared" si="3"/>
        <v>0.5</v>
      </c>
      <c r="Q47" s="48">
        <v>3.5999999999999997E-2</v>
      </c>
      <c r="R47" s="115">
        <f t="shared" si="4"/>
        <v>1.7999999999999998</v>
      </c>
      <c r="S47" s="48">
        <v>1.4500000000000001E-2</v>
      </c>
      <c r="T47" s="115">
        <f t="shared" si="5"/>
        <v>1.4500000000000002</v>
      </c>
      <c r="U47" s="138"/>
      <c r="V47" s="135"/>
      <c r="W47" s="135"/>
    </row>
    <row r="48" spans="1:23">
      <c r="A48" s="2">
        <v>46</v>
      </c>
      <c r="B48" s="208" t="s">
        <v>267</v>
      </c>
      <c r="C48" s="154" t="s">
        <v>268</v>
      </c>
      <c r="D48" s="155" t="s">
        <v>269</v>
      </c>
      <c r="E48" s="155" t="s">
        <v>270</v>
      </c>
      <c r="F48" s="155" t="s">
        <v>271</v>
      </c>
      <c r="G48" s="5" t="s">
        <v>272</v>
      </c>
      <c r="H48" s="155" t="s">
        <v>28</v>
      </c>
      <c r="I48" s="155" t="s">
        <v>120</v>
      </c>
      <c r="J48" s="5">
        <v>1</v>
      </c>
      <c r="K48" s="106">
        <f t="shared" ref="K48:K64" si="6">J48*5</f>
        <v>5</v>
      </c>
      <c r="L48" s="106">
        <f t="shared" ref="L48:L64" si="7">J48*50</f>
        <v>50</v>
      </c>
      <c r="M48" s="106">
        <f t="shared" ref="M48:M64" si="8">J48*100</f>
        <v>100</v>
      </c>
      <c r="N48" s="25" t="s">
        <v>30</v>
      </c>
      <c r="O48" s="41">
        <v>1.2</v>
      </c>
      <c r="P48" s="121">
        <f t="shared" ref="P48:P64" si="9">O48*K48</f>
        <v>6</v>
      </c>
      <c r="Q48" s="41">
        <v>1.2</v>
      </c>
      <c r="R48" s="121">
        <f t="shared" ref="R48:R64" si="10">Q48*L48</f>
        <v>60</v>
      </c>
      <c r="S48" s="131">
        <v>1</v>
      </c>
      <c r="T48" s="121">
        <f t="shared" ref="T48:T64" si="11">S48*M48</f>
        <v>100</v>
      </c>
      <c r="U48" s="67" t="s">
        <v>134</v>
      </c>
      <c r="V48" s="135"/>
      <c r="W48" s="135"/>
    </row>
    <row r="49" spans="1:23">
      <c r="A49" s="2">
        <v>47</v>
      </c>
      <c r="B49" s="210"/>
      <c r="C49" s="157" t="s">
        <v>273</v>
      </c>
      <c r="D49" s="158" t="s">
        <v>274</v>
      </c>
      <c r="E49" s="158" t="s">
        <v>275</v>
      </c>
      <c r="F49" s="158" t="s">
        <v>276</v>
      </c>
      <c r="G49" s="8" t="s">
        <v>277</v>
      </c>
      <c r="H49" s="158" t="s">
        <v>28</v>
      </c>
      <c r="I49" s="158" t="s">
        <v>120</v>
      </c>
      <c r="J49" s="8">
        <v>1</v>
      </c>
      <c r="K49" s="107">
        <f t="shared" si="6"/>
        <v>5</v>
      </c>
      <c r="L49" s="107">
        <f t="shared" si="7"/>
        <v>50</v>
      </c>
      <c r="M49" s="107">
        <f t="shared" si="8"/>
        <v>100</v>
      </c>
      <c r="N49" s="28" t="s">
        <v>79</v>
      </c>
      <c r="O49" s="30">
        <v>0.65400000000000003</v>
      </c>
      <c r="P49" s="115">
        <f t="shared" si="9"/>
        <v>3.27</v>
      </c>
      <c r="Q49" s="30">
        <v>0.57599999999999996</v>
      </c>
      <c r="R49" s="115">
        <f t="shared" si="10"/>
        <v>28.799999999999997</v>
      </c>
      <c r="S49" s="134">
        <v>0.442</v>
      </c>
      <c r="T49" s="115">
        <f t="shared" si="11"/>
        <v>44.2</v>
      </c>
      <c r="U49" s="68" t="s">
        <v>134</v>
      </c>
      <c r="V49" s="135"/>
      <c r="W49" s="135"/>
    </row>
    <row r="50" spans="1:23">
      <c r="A50" s="2">
        <v>48</v>
      </c>
      <c r="B50" s="210"/>
      <c r="C50" s="157" t="s">
        <v>278</v>
      </c>
      <c r="D50" s="158" t="s">
        <v>279</v>
      </c>
      <c r="E50" s="158" t="s">
        <v>131</v>
      </c>
      <c r="F50" s="158" t="s">
        <v>280</v>
      </c>
      <c r="G50" s="8" t="s">
        <v>141</v>
      </c>
      <c r="H50" s="158" t="s">
        <v>28</v>
      </c>
      <c r="I50" s="158" t="s">
        <v>120</v>
      </c>
      <c r="J50" s="8">
        <v>1</v>
      </c>
      <c r="K50" s="107">
        <f t="shared" si="6"/>
        <v>5</v>
      </c>
      <c r="L50" s="107">
        <f t="shared" si="7"/>
        <v>50</v>
      </c>
      <c r="M50" s="107">
        <f t="shared" si="8"/>
        <v>100</v>
      </c>
      <c r="N50" s="28" t="s">
        <v>30</v>
      </c>
      <c r="O50" s="30">
        <v>0.54</v>
      </c>
      <c r="P50" s="115">
        <f t="shared" si="9"/>
        <v>2.7</v>
      </c>
      <c r="Q50" s="30">
        <v>0.4284</v>
      </c>
      <c r="R50" s="115">
        <f t="shared" si="10"/>
        <v>21.42</v>
      </c>
      <c r="S50" s="134">
        <v>0.34279999999999999</v>
      </c>
      <c r="T50" s="115">
        <f t="shared" si="11"/>
        <v>34.28</v>
      </c>
      <c r="U50" s="68" t="s">
        <v>134</v>
      </c>
      <c r="V50" s="135"/>
      <c r="W50" s="135"/>
    </row>
    <row r="51" spans="1:23">
      <c r="A51" s="2">
        <v>49</v>
      </c>
      <c r="B51" s="210"/>
      <c r="C51" s="157" t="s">
        <v>281</v>
      </c>
      <c r="D51" s="158" t="s">
        <v>282</v>
      </c>
      <c r="E51" s="158" t="s">
        <v>283</v>
      </c>
      <c r="F51" s="158" t="s">
        <v>284</v>
      </c>
      <c r="G51" s="8" t="s">
        <v>285</v>
      </c>
      <c r="H51" s="158" t="s">
        <v>28</v>
      </c>
      <c r="I51" s="158" t="s">
        <v>120</v>
      </c>
      <c r="J51" s="8">
        <v>1</v>
      </c>
      <c r="K51" s="107">
        <f t="shared" si="6"/>
        <v>5</v>
      </c>
      <c r="L51" s="107">
        <f t="shared" si="7"/>
        <v>50</v>
      </c>
      <c r="M51" s="107">
        <f t="shared" si="8"/>
        <v>100</v>
      </c>
      <c r="N51" s="28" t="s">
        <v>30</v>
      </c>
      <c r="O51" s="30">
        <v>0.38</v>
      </c>
      <c r="P51" s="115">
        <f t="shared" si="9"/>
        <v>1.9</v>
      </c>
      <c r="Q51" s="30">
        <v>0.28239999999999998</v>
      </c>
      <c r="R51" s="115">
        <f t="shared" si="10"/>
        <v>14.12</v>
      </c>
      <c r="S51" s="134">
        <v>0.21029999999999999</v>
      </c>
      <c r="T51" s="115">
        <f t="shared" si="11"/>
        <v>21.029999999999998</v>
      </c>
      <c r="U51" s="138"/>
      <c r="V51" s="135"/>
      <c r="W51" s="135"/>
    </row>
    <row r="52" spans="1:23">
      <c r="A52" s="2">
        <v>50</v>
      </c>
      <c r="B52" s="210"/>
      <c r="C52" s="157" t="s">
        <v>286</v>
      </c>
      <c r="D52" s="158" t="s">
        <v>287</v>
      </c>
      <c r="E52" s="158" t="s">
        <v>288</v>
      </c>
      <c r="F52" s="158" t="s">
        <v>289</v>
      </c>
      <c r="G52" s="8" t="s">
        <v>290</v>
      </c>
      <c r="H52" s="158" t="s">
        <v>28</v>
      </c>
      <c r="I52" s="158" t="s">
        <v>120</v>
      </c>
      <c r="J52" s="8">
        <v>1</v>
      </c>
      <c r="K52" s="107">
        <f t="shared" si="6"/>
        <v>5</v>
      </c>
      <c r="L52" s="107">
        <f t="shared" si="7"/>
        <v>50</v>
      </c>
      <c r="M52" s="107">
        <f t="shared" si="8"/>
        <v>100</v>
      </c>
      <c r="N52" s="28" t="s">
        <v>30</v>
      </c>
      <c r="O52" s="30">
        <v>4.2300000000000004</v>
      </c>
      <c r="P52" s="115">
        <f t="shared" si="9"/>
        <v>21.150000000000002</v>
      </c>
      <c r="Q52" s="30">
        <v>3.8412000000000002</v>
      </c>
      <c r="R52" s="115">
        <f t="shared" si="10"/>
        <v>192.06</v>
      </c>
      <c r="S52" s="134">
        <v>3.8250000000000002</v>
      </c>
      <c r="T52" s="115">
        <f t="shared" si="11"/>
        <v>382.5</v>
      </c>
      <c r="U52" s="68" t="s">
        <v>134</v>
      </c>
      <c r="V52" s="135"/>
      <c r="W52" s="135"/>
    </row>
    <row r="53" spans="1:23">
      <c r="A53" s="2">
        <v>51</v>
      </c>
      <c r="B53" s="210"/>
      <c r="C53" s="157" t="s">
        <v>291</v>
      </c>
      <c r="D53" s="158" t="s">
        <v>292</v>
      </c>
      <c r="E53" s="158" t="s">
        <v>293</v>
      </c>
      <c r="F53" s="158" t="s">
        <v>294</v>
      </c>
      <c r="G53" s="8" t="s">
        <v>295</v>
      </c>
      <c r="H53" s="158" t="s">
        <v>28</v>
      </c>
      <c r="I53" s="158" t="s">
        <v>120</v>
      </c>
      <c r="J53" s="8">
        <v>1</v>
      </c>
      <c r="K53" s="107">
        <f t="shared" si="6"/>
        <v>5</v>
      </c>
      <c r="L53" s="107">
        <f t="shared" si="7"/>
        <v>50</v>
      </c>
      <c r="M53" s="107">
        <f t="shared" si="8"/>
        <v>100</v>
      </c>
      <c r="N53" s="28" t="s">
        <v>85</v>
      </c>
      <c r="O53" s="30">
        <v>1.3006</v>
      </c>
      <c r="P53" s="115">
        <f t="shared" si="9"/>
        <v>6.5030000000000001</v>
      </c>
      <c r="Q53" s="30">
        <v>1.0849</v>
      </c>
      <c r="R53" s="115">
        <f t="shared" si="10"/>
        <v>54.244999999999997</v>
      </c>
      <c r="S53" s="134">
        <v>0.82869999999999999</v>
      </c>
      <c r="T53" s="115">
        <f t="shared" si="11"/>
        <v>82.87</v>
      </c>
      <c r="U53" s="138"/>
      <c r="V53" s="135"/>
      <c r="W53" s="135"/>
    </row>
    <row r="54" spans="1:23">
      <c r="A54" s="2">
        <v>52</v>
      </c>
      <c r="B54" s="210"/>
      <c r="C54" s="157" t="s">
        <v>296</v>
      </c>
      <c r="D54" s="158" t="s">
        <v>297</v>
      </c>
      <c r="E54" s="158" t="s">
        <v>298</v>
      </c>
      <c r="F54" s="158" t="s">
        <v>299</v>
      </c>
      <c r="G54" s="8" t="s">
        <v>295</v>
      </c>
      <c r="H54" s="158" t="s">
        <v>28</v>
      </c>
      <c r="I54" s="158" t="s">
        <v>120</v>
      </c>
      <c r="J54" s="8">
        <v>1</v>
      </c>
      <c r="K54" s="107">
        <f t="shared" si="6"/>
        <v>5</v>
      </c>
      <c r="L54" s="107">
        <f t="shared" si="7"/>
        <v>50</v>
      </c>
      <c r="M54" s="107">
        <f t="shared" si="8"/>
        <v>100</v>
      </c>
      <c r="N54" s="28" t="s">
        <v>30</v>
      </c>
      <c r="O54" s="30">
        <v>2.4</v>
      </c>
      <c r="P54" s="115">
        <f t="shared" si="9"/>
        <v>12</v>
      </c>
      <c r="Q54" s="30">
        <v>2.0352000000000001</v>
      </c>
      <c r="R54" s="115">
        <f t="shared" si="10"/>
        <v>101.76</v>
      </c>
      <c r="S54" s="134">
        <v>1.734</v>
      </c>
      <c r="T54" s="115">
        <f t="shared" si="11"/>
        <v>173.4</v>
      </c>
      <c r="U54" s="68" t="s">
        <v>134</v>
      </c>
      <c r="V54" s="135"/>
      <c r="W54" s="135"/>
    </row>
    <row r="55" spans="1:23" ht="15.75" customHeight="1">
      <c r="A55" s="2">
        <v>53</v>
      </c>
      <c r="B55" s="210"/>
      <c r="C55" s="157" t="s">
        <v>300</v>
      </c>
      <c r="D55" s="158" t="s">
        <v>301</v>
      </c>
      <c r="E55" s="158" t="s">
        <v>283</v>
      </c>
      <c r="F55" s="158" t="s">
        <v>302</v>
      </c>
      <c r="G55" s="8" t="s">
        <v>290</v>
      </c>
      <c r="H55" s="158" t="s">
        <v>28</v>
      </c>
      <c r="I55" s="158" t="s">
        <v>120</v>
      </c>
      <c r="J55" s="8">
        <v>1</v>
      </c>
      <c r="K55" s="107">
        <f t="shared" si="6"/>
        <v>5</v>
      </c>
      <c r="L55" s="107">
        <f t="shared" si="7"/>
        <v>50</v>
      </c>
      <c r="M55" s="107">
        <f t="shared" si="8"/>
        <v>100</v>
      </c>
      <c r="N55" s="28" t="s">
        <v>30</v>
      </c>
      <c r="O55" s="30">
        <v>0.86</v>
      </c>
      <c r="P55" s="115">
        <f t="shared" si="9"/>
        <v>4.3</v>
      </c>
      <c r="Q55" s="30">
        <v>0.86</v>
      </c>
      <c r="R55" s="115">
        <f t="shared" si="10"/>
        <v>43</v>
      </c>
      <c r="S55" s="134">
        <v>0.86</v>
      </c>
      <c r="T55" s="115">
        <f t="shared" si="11"/>
        <v>86</v>
      </c>
      <c r="U55" s="68" t="s">
        <v>134</v>
      </c>
      <c r="V55" s="135"/>
      <c r="W55" s="135"/>
    </row>
    <row r="56" spans="1:23">
      <c r="A56" s="2">
        <v>54</v>
      </c>
      <c r="B56" s="210"/>
      <c r="C56" s="157" t="s">
        <v>303</v>
      </c>
      <c r="D56" s="158" t="s">
        <v>304</v>
      </c>
      <c r="E56" s="158" t="s">
        <v>283</v>
      </c>
      <c r="F56" s="158" t="s">
        <v>305</v>
      </c>
      <c r="G56" s="8" t="s">
        <v>295</v>
      </c>
      <c r="H56" s="158" t="s">
        <v>28</v>
      </c>
      <c r="I56" s="158" t="s">
        <v>120</v>
      </c>
      <c r="J56" s="8">
        <v>1</v>
      </c>
      <c r="K56" s="107">
        <f t="shared" si="6"/>
        <v>5</v>
      </c>
      <c r="L56" s="107">
        <f t="shared" si="7"/>
        <v>50</v>
      </c>
      <c r="M56" s="107">
        <f t="shared" si="8"/>
        <v>100</v>
      </c>
      <c r="N56" s="28" t="s">
        <v>30</v>
      </c>
      <c r="O56" s="30">
        <v>4.01</v>
      </c>
      <c r="P56" s="115">
        <f t="shared" si="9"/>
        <v>20.049999999999997</v>
      </c>
      <c r="Q56" s="30">
        <v>3.4079999999999999</v>
      </c>
      <c r="R56" s="115">
        <f t="shared" si="10"/>
        <v>170.4</v>
      </c>
      <c r="S56" s="134">
        <v>2.9537</v>
      </c>
      <c r="T56" s="115">
        <f t="shared" si="11"/>
        <v>295.37</v>
      </c>
      <c r="U56" s="138"/>
      <c r="V56" s="135"/>
      <c r="W56" s="135"/>
    </row>
    <row r="57" spans="1:23">
      <c r="A57" s="2">
        <v>55</v>
      </c>
      <c r="B57" s="209"/>
      <c r="C57" s="167" t="s">
        <v>306</v>
      </c>
      <c r="D57" s="168" t="s">
        <v>307</v>
      </c>
      <c r="E57" s="168" t="s">
        <v>308</v>
      </c>
      <c r="F57" s="184" t="s">
        <v>309</v>
      </c>
      <c r="G57" s="15" t="s">
        <v>310</v>
      </c>
      <c r="H57" s="15" t="s">
        <v>311</v>
      </c>
      <c r="I57" s="168" t="s">
        <v>120</v>
      </c>
      <c r="J57" s="15">
        <v>1</v>
      </c>
      <c r="K57" s="109">
        <f t="shared" si="6"/>
        <v>5</v>
      </c>
      <c r="L57" s="109">
        <f t="shared" si="7"/>
        <v>50</v>
      </c>
      <c r="M57" s="109">
        <f t="shared" si="8"/>
        <v>100</v>
      </c>
      <c r="N57" s="42" t="s">
        <v>30</v>
      </c>
      <c r="O57" s="43">
        <v>1.1499999999999999</v>
      </c>
      <c r="P57" s="122">
        <f t="shared" si="9"/>
        <v>5.75</v>
      </c>
      <c r="Q57" s="43">
        <v>0.97960000000000003</v>
      </c>
      <c r="R57" s="122">
        <f t="shared" si="10"/>
        <v>48.980000000000004</v>
      </c>
      <c r="S57" s="144">
        <v>0.80449999999999999</v>
      </c>
      <c r="T57" s="122">
        <f t="shared" si="11"/>
        <v>80.45</v>
      </c>
      <c r="U57" s="142"/>
      <c r="V57" s="135"/>
      <c r="W57" s="135"/>
    </row>
    <row r="58" spans="1:23" ht="25.5">
      <c r="A58" s="2">
        <v>56</v>
      </c>
      <c r="B58" s="210"/>
      <c r="C58" s="173" t="s">
        <v>312</v>
      </c>
      <c r="D58" s="174" t="s">
        <v>313</v>
      </c>
      <c r="E58" s="174" t="s">
        <v>25</v>
      </c>
      <c r="F58" s="183" t="s">
        <v>314</v>
      </c>
      <c r="G58" s="174" t="s">
        <v>315</v>
      </c>
      <c r="H58" s="8" t="s">
        <v>316</v>
      </c>
      <c r="I58" s="155" t="s">
        <v>120</v>
      </c>
      <c r="J58" s="108">
        <v>1</v>
      </c>
      <c r="K58" s="107">
        <f t="shared" si="6"/>
        <v>5</v>
      </c>
      <c r="L58" s="107">
        <f t="shared" si="7"/>
        <v>50</v>
      </c>
      <c r="M58" s="107">
        <f t="shared" si="8"/>
        <v>100</v>
      </c>
      <c r="N58" s="57" t="s">
        <v>30</v>
      </c>
      <c r="O58" s="48">
        <v>0.47</v>
      </c>
      <c r="P58" s="118">
        <f t="shared" si="9"/>
        <v>2.3499999999999996</v>
      </c>
      <c r="Q58" s="48">
        <v>0.41199999999999998</v>
      </c>
      <c r="R58" s="118">
        <f t="shared" si="10"/>
        <v>20.599999999999998</v>
      </c>
      <c r="S58" s="48">
        <v>0.33950000000000002</v>
      </c>
      <c r="T58" s="118">
        <f t="shared" si="11"/>
        <v>33.950000000000003</v>
      </c>
      <c r="U58" s="71" t="s">
        <v>317</v>
      </c>
    </row>
    <row r="59" spans="1:23" ht="25.5">
      <c r="A59" s="2">
        <v>57</v>
      </c>
      <c r="B59" s="210"/>
      <c r="C59" s="163" t="s">
        <v>318</v>
      </c>
      <c r="D59" s="158" t="s">
        <v>319</v>
      </c>
      <c r="E59" s="158" t="s">
        <v>25</v>
      </c>
      <c r="F59" s="159" t="s">
        <v>320</v>
      </c>
      <c r="G59" s="8" t="s">
        <v>158</v>
      </c>
      <c r="H59" s="158" t="s">
        <v>321</v>
      </c>
      <c r="I59" s="158" t="s">
        <v>120</v>
      </c>
      <c r="J59" s="8">
        <v>1</v>
      </c>
      <c r="K59" s="107">
        <f t="shared" si="6"/>
        <v>5</v>
      </c>
      <c r="L59" s="107">
        <f t="shared" si="7"/>
        <v>50</v>
      </c>
      <c r="M59" s="107">
        <f t="shared" si="8"/>
        <v>100</v>
      </c>
      <c r="N59" s="31" t="s">
        <v>30</v>
      </c>
      <c r="O59" s="30">
        <v>1.01</v>
      </c>
      <c r="P59" s="115">
        <f t="shared" si="9"/>
        <v>5.05</v>
      </c>
      <c r="Q59" s="30">
        <v>0.79800000000000004</v>
      </c>
      <c r="R59" s="115">
        <f t="shared" si="10"/>
        <v>39.900000000000006</v>
      </c>
      <c r="S59" s="115">
        <v>0.76339999999999997</v>
      </c>
      <c r="T59" s="115">
        <f t="shared" si="11"/>
        <v>76.34</v>
      </c>
      <c r="U59" s="59"/>
    </row>
    <row r="60" spans="1:23" s="86" customFormat="1" ht="25.5">
      <c r="A60" s="2">
        <v>58</v>
      </c>
      <c r="B60" s="210"/>
      <c r="C60" s="163" t="s">
        <v>322</v>
      </c>
      <c r="D60" s="160" t="s">
        <v>323</v>
      </c>
      <c r="E60" s="160" t="s">
        <v>25</v>
      </c>
      <c r="F60" s="185" t="s">
        <v>324</v>
      </c>
      <c r="G60" s="107" t="s">
        <v>325</v>
      </c>
      <c r="H60" s="8" t="s">
        <v>326</v>
      </c>
      <c r="I60" s="160" t="s">
        <v>120</v>
      </c>
      <c r="J60" s="107">
        <v>1</v>
      </c>
      <c r="K60" s="107">
        <f t="shared" si="6"/>
        <v>5</v>
      </c>
      <c r="L60" s="107">
        <f t="shared" si="7"/>
        <v>50</v>
      </c>
      <c r="M60" s="107">
        <f t="shared" si="8"/>
        <v>100</v>
      </c>
      <c r="N60" s="130" t="s">
        <v>30</v>
      </c>
      <c r="O60" s="115">
        <v>0.35</v>
      </c>
      <c r="P60" s="115">
        <f t="shared" si="9"/>
        <v>1.75</v>
      </c>
      <c r="Q60" s="115">
        <v>0.24099999999999999</v>
      </c>
      <c r="R60" s="115">
        <f t="shared" si="10"/>
        <v>12.049999999999999</v>
      </c>
      <c r="S60" s="115">
        <v>0.23150000000000001</v>
      </c>
      <c r="T60" s="115">
        <f t="shared" si="11"/>
        <v>23.150000000000002</v>
      </c>
      <c r="U60" s="59" t="s">
        <v>37</v>
      </c>
    </row>
    <row r="61" spans="1:23" ht="15.75" customHeight="1">
      <c r="A61" s="2">
        <v>59</v>
      </c>
      <c r="B61" s="210"/>
      <c r="C61" s="157" t="s">
        <v>327</v>
      </c>
      <c r="D61" s="158" t="s">
        <v>328</v>
      </c>
      <c r="E61" s="158" t="s">
        <v>25</v>
      </c>
      <c r="F61" s="158" t="s">
        <v>329</v>
      </c>
      <c r="G61" s="8" t="s">
        <v>330</v>
      </c>
      <c r="H61" s="158" t="s">
        <v>28</v>
      </c>
      <c r="I61" s="158" t="s">
        <v>120</v>
      </c>
      <c r="J61" s="8">
        <v>1</v>
      </c>
      <c r="K61" s="107">
        <f t="shared" si="6"/>
        <v>5</v>
      </c>
      <c r="L61" s="107">
        <f t="shared" si="7"/>
        <v>50</v>
      </c>
      <c r="M61" s="107">
        <f t="shared" si="8"/>
        <v>100</v>
      </c>
      <c r="N61" s="28" t="s">
        <v>30</v>
      </c>
      <c r="O61" s="30">
        <v>0.96</v>
      </c>
      <c r="P61" s="115">
        <f t="shared" si="9"/>
        <v>4.8</v>
      </c>
      <c r="Q61" s="30">
        <v>0.81499999999999995</v>
      </c>
      <c r="R61" s="115">
        <f t="shared" si="10"/>
        <v>40.75</v>
      </c>
      <c r="S61" s="115">
        <v>0.73180000000000001</v>
      </c>
      <c r="T61" s="115">
        <f t="shared" si="11"/>
        <v>73.180000000000007</v>
      </c>
      <c r="U61" s="138"/>
    </row>
    <row r="62" spans="1:23" ht="15.75" customHeight="1">
      <c r="A62" s="2">
        <v>60</v>
      </c>
      <c r="B62" s="210"/>
      <c r="C62" s="157" t="s">
        <v>331</v>
      </c>
      <c r="D62" s="158" t="s">
        <v>332</v>
      </c>
      <c r="E62" s="158" t="s">
        <v>25</v>
      </c>
      <c r="F62" s="159" t="s">
        <v>333</v>
      </c>
      <c r="G62" s="8" t="s">
        <v>25</v>
      </c>
      <c r="H62" s="8" t="s">
        <v>334</v>
      </c>
      <c r="I62" s="158" t="s">
        <v>120</v>
      </c>
      <c r="J62" s="8">
        <v>1</v>
      </c>
      <c r="K62" s="107">
        <f t="shared" si="6"/>
        <v>5</v>
      </c>
      <c r="L62" s="107">
        <f t="shared" si="7"/>
        <v>50</v>
      </c>
      <c r="M62" s="107">
        <f t="shared" si="8"/>
        <v>100</v>
      </c>
      <c r="N62" s="28" t="s">
        <v>30</v>
      </c>
      <c r="O62" s="30">
        <v>0.15</v>
      </c>
      <c r="P62" s="115">
        <f t="shared" si="9"/>
        <v>0.75</v>
      </c>
      <c r="Q62" s="30">
        <v>0.11799999999999999</v>
      </c>
      <c r="R62" s="115">
        <f t="shared" si="10"/>
        <v>5.8999999999999995</v>
      </c>
      <c r="S62" s="134">
        <v>8.6800000000000002E-2</v>
      </c>
      <c r="T62" s="115">
        <f t="shared" si="11"/>
        <v>8.68</v>
      </c>
      <c r="U62" s="138"/>
    </row>
    <row r="63" spans="1:23" ht="15.75" customHeight="1">
      <c r="A63" s="2">
        <v>61</v>
      </c>
      <c r="B63" s="210"/>
      <c r="C63" s="157" t="s">
        <v>335</v>
      </c>
      <c r="D63" s="158" t="s">
        <v>336</v>
      </c>
      <c r="E63" s="158" t="s">
        <v>25</v>
      </c>
      <c r="F63" s="159" t="s">
        <v>337</v>
      </c>
      <c r="G63" s="8" t="s">
        <v>338</v>
      </c>
      <c r="H63" s="8" t="s">
        <v>339</v>
      </c>
      <c r="I63" s="158" t="s">
        <v>120</v>
      </c>
      <c r="J63" s="8">
        <v>1</v>
      </c>
      <c r="K63" s="107">
        <f t="shared" si="6"/>
        <v>5</v>
      </c>
      <c r="L63" s="107">
        <f t="shared" si="7"/>
        <v>50</v>
      </c>
      <c r="M63" s="107">
        <f t="shared" si="8"/>
        <v>100</v>
      </c>
      <c r="N63" s="28" t="s">
        <v>30</v>
      </c>
      <c r="O63" s="30">
        <v>0.45</v>
      </c>
      <c r="P63" s="115">
        <f t="shared" si="9"/>
        <v>2.25</v>
      </c>
      <c r="Q63" s="30">
        <v>0.45</v>
      </c>
      <c r="R63" s="115">
        <f t="shared" si="10"/>
        <v>22.5</v>
      </c>
      <c r="S63" s="134">
        <v>0.4</v>
      </c>
      <c r="T63" s="115">
        <f t="shared" si="11"/>
        <v>40</v>
      </c>
      <c r="U63" s="59" t="s">
        <v>37</v>
      </c>
    </row>
    <row r="64" spans="1:23" ht="15.75" customHeight="1">
      <c r="A64" s="2">
        <v>62</v>
      </c>
      <c r="B64" s="210"/>
      <c r="C64" s="157" t="s">
        <v>340</v>
      </c>
      <c r="D64" s="158" t="s">
        <v>341</v>
      </c>
      <c r="E64" s="158" t="s">
        <v>25</v>
      </c>
      <c r="F64" s="159" t="s">
        <v>342</v>
      </c>
      <c r="G64" s="8" t="s">
        <v>343</v>
      </c>
      <c r="H64" s="8">
        <v>1715260000</v>
      </c>
      <c r="I64" s="158" t="s">
        <v>120</v>
      </c>
      <c r="J64" s="8">
        <v>1</v>
      </c>
      <c r="K64" s="107">
        <f t="shared" si="6"/>
        <v>5</v>
      </c>
      <c r="L64" s="107">
        <f t="shared" si="7"/>
        <v>50</v>
      </c>
      <c r="M64" s="107">
        <f t="shared" si="8"/>
        <v>100</v>
      </c>
      <c r="N64" s="28" t="s">
        <v>30</v>
      </c>
      <c r="O64" s="30">
        <v>2.13</v>
      </c>
      <c r="P64" s="115">
        <f t="shared" si="9"/>
        <v>10.649999999999999</v>
      </c>
      <c r="Q64" s="30">
        <v>1.3431999999999999</v>
      </c>
      <c r="R64" s="115">
        <f t="shared" si="10"/>
        <v>67.16</v>
      </c>
      <c r="S64" s="134">
        <v>1.3104</v>
      </c>
      <c r="T64" s="115">
        <f t="shared" si="11"/>
        <v>131.04</v>
      </c>
      <c r="U64" s="59" t="s">
        <v>37</v>
      </c>
    </row>
    <row r="65" spans="1:21" ht="15.75" customHeight="1">
      <c r="A65" s="2">
        <v>63</v>
      </c>
      <c r="B65" s="210"/>
      <c r="C65" s="157" t="s">
        <v>340</v>
      </c>
      <c r="D65" s="158" t="s">
        <v>344</v>
      </c>
      <c r="E65" s="158" t="s">
        <v>25</v>
      </c>
      <c r="F65" s="159" t="s">
        <v>345</v>
      </c>
      <c r="G65" s="8" t="s">
        <v>343</v>
      </c>
      <c r="H65" s="8">
        <v>1711725</v>
      </c>
      <c r="I65" s="158" t="s">
        <v>120</v>
      </c>
      <c r="J65" s="8">
        <v>2</v>
      </c>
      <c r="K65" s="107">
        <f t="shared" ref="K65:K69" si="12">J65*5</f>
        <v>10</v>
      </c>
      <c r="L65" s="107">
        <f t="shared" ref="L65:L69" si="13">J65*50</f>
        <v>100</v>
      </c>
      <c r="M65" s="107">
        <f t="shared" ref="M65:M69" si="14">J65*100</f>
        <v>200</v>
      </c>
      <c r="N65" s="28" t="s">
        <v>30</v>
      </c>
      <c r="O65" s="30">
        <v>2.1120000000000001</v>
      </c>
      <c r="P65" s="115">
        <f t="shared" ref="P65" si="15">O65*K65</f>
        <v>21.12</v>
      </c>
      <c r="Q65" s="30">
        <v>1.92</v>
      </c>
      <c r="R65" s="115">
        <f t="shared" ref="R65" si="16">Q65*L65</f>
        <v>192</v>
      </c>
      <c r="S65" s="134">
        <v>1.92</v>
      </c>
      <c r="T65" s="115">
        <f t="shared" ref="T65" si="17">S65*M65</f>
        <v>384</v>
      </c>
      <c r="U65" s="59" t="s">
        <v>37</v>
      </c>
    </row>
    <row r="66" spans="1:21" ht="15.75" customHeight="1">
      <c r="A66" s="2">
        <v>64</v>
      </c>
      <c r="B66" s="210"/>
      <c r="C66" s="186" t="s">
        <v>346</v>
      </c>
      <c r="D66" s="159" t="s">
        <v>347</v>
      </c>
      <c r="E66" s="159" t="s">
        <v>25</v>
      </c>
      <c r="F66" s="159" t="s">
        <v>348</v>
      </c>
      <c r="G66" s="9" t="s">
        <v>25</v>
      </c>
      <c r="H66" s="159" t="s">
        <v>28</v>
      </c>
      <c r="I66" s="159" t="s">
        <v>120</v>
      </c>
      <c r="J66" s="9">
        <v>1</v>
      </c>
      <c r="K66" s="111">
        <f t="shared" si="12"/>
        <v>5</v>
      </c>
      <c r="L66" s="111">
        <f t="shared" si="13"/>
        <v>50</v>
      </c>
      <c r="M66" s="111">
        <f t="shared" si="14"/>
        <v>100</v>
      </c>
      <c r="N66" s="159" t="s">
        <v>120</v>
      </c>
      <c r="O66" s="159" t="s">
        <v>120</v>
      </c>
      <c r="P66" s="159" t="s">
        <v>120</v>
      </c>
      <c r="Q66" s="159" t="s">
        <v>120</v>
      </c>
      <c r="R66" s="159" t="s">
        <v>120</v>
      </c>
      <c r="S66" s="159" t="s">
        <v>120</v>
      </c>
      <c r="T66" s="159" t="s">
        <v>120</v>
      </c>
      <c r="U66" s="59" t="s">
        <v>349</v>
      </c>
    </row>
    <row r="67" spans="1:21" ht="15.75" customHeight="1">
      <c r="A67" s="2">
        <v>65</v>
      </c>
      <c r="B67" s="210"/>
      <c r="C67" s="186" t="s">
        <v>350</v>
      </c>
      <c r="D67" s="159" t="s">
        <v>351</v>
      </c>
      <c r="E67" s="159" t="s">
        <v>25</v>
      </c>
      <c r="F67" s="159" t="s">
        <v>352</v>
      </c>
      <c r="G67" s="9" t="s">
        <v>25</v>
      </c>
      <c r="H67" s="159" t="s">
        <v>28</v>
      </c>
      <c r="I67" s="159" t="s">
        <v>120</v>
      </c>
      <c r="J67" s="9">
        <v>6</v>
      </c>
      <c r="K67" s="111">
        <f t="shared" si="12"/>
        <v>30</v>
      </c>
      <c r="L67" s="111">
        <f t="shared" si="13"/>
        <v>300</v>
      </c>
      <c r="M67" s="111">
        <f t="shared" si="14"/>
        <v>600</v>
      </c>
      <c r="N67" s="159" t="s">
        <v>120</v>
      </c>
      <c r="O67" s="159" t="s">
        <v>120</v>
      </c>
      <c r="P67" s="159" t="s">
        <v>120</v>
      </c>
      <c r="Q67" s="159" t="s">
        <v>120</v>
      </c>
      <c r="R67" s="159" t="s">
        <v>120</v>
      </c>
      <c r="S67" s="159" t="s">
        <v>120</v>
      </c>
      <c r="T67" s="159" t="s">
        <v>120</v>
      </c>
      <c r="U67" s="59" t="s">
        <v>349</v>
      </c>
    </row>
    <row r="68" spans="1:21" ht="15.75" customHeight="1">
      <c r="A68" s="2">
        <v>66</v>
      </c>
      <c r="B68" s="210"/>
      <c r="C68" s="186" t="s">
        <v>353</v>
      </c>
      <c r="D68" s="159" t="s">
        <v>354</v>
      </c>
      <c r="E68" s="159" t="s">
        <v>25</v>
      </c>
      <c r="F68" s="159" t="s">
        <v>355</v>
      </c>
      <c r="G68" s="9" t="s">
        <v>356</v>
      </c>
      <c r="H68" s="149"/>
      <c r="I68" s="159" t="s">
        <v>120</v>
      </c>
      <c r="J68" s="9">
        <v>1</v>
      </c>
      <c r="K68" s="111">
        <f t="shared" si="12"/>
        <v>5</v>
      </c>
      <c r="L68" s="111">
        <f t="shared" si="13"/>
        <v>50</v>
      </c>
      <c r="M68" s="111">
        <f t="shared" si="14"/>
        <v>100</v>
      </c>
      <c r="N68" s="159" t="s">
        <v>120</v>
      </c>
      <c r="O68" s="159" t="s">
        <v>120</v>
      </c>
      <c r="P68" s="159" t="s">
        <v>120</v>
      </c>
      <c r="Q68" s="159" t="s">
        <v>120</v>
      </c>
      <c r="R68" s="159" t="s">
        <v>120</v>
      </c>
      <c r="S68" s="159" t="s">
        <v>120</v>
      </c>
      <c r="T68" s="159" t="s">
        <v>120</v>
      </c>
      <c r="U68" s="59" t="s">
        <v>349</v>
      </c>
    </row>
    <row r="69" spans="1:21" ht="25.5">
      <c r="A69" s="2">
        <v>67</v>
      </c>
      <c r="B69" s="209"/>
      <c r="C69" s="187" t="s">
        <v>357</v>
      </c>
      <c r="D69" s="188" t="s">
        <v>358</v>
      </c>
      <c r="E69" s="184" t="s">
        <v>25</v>
      </c>
      <c r="F69" s="184" t="s">
        <v>359</v>
      </c>
      <c r="G69" s="22" t="s">
        <v>25</v>
      </c>
      <c r="H69" s="184" t="s">
        <v>28</v>
      </c>
      <c r="I69" s="184" t="s">
        <v>120</v>
      </c>
      <c r="J69" s="22">
        <v>9</v>
      </c>
      <c r="K69" s="150">
        <f t="shared" si="12"/>
        <v>45</v>
      </c>
      <c r="L69" s="150">
        <f t="shared" si="13"/>
        <v>450</v>
      </c>
      <c r="M69" s="150">
        <f t="shared" si="14"/>
        <v>900</v>
      </c>
      <c r="N69" s="184" t="s">
        <v>120</v>
      </c>
      <c r="O69" s="184" t="s">
        <v>120</v>
      </c>
      <c r="P69" s="184" t="s">
        <v>120</v>
      </c>
      <c r="Q69" s="184" t="s">
        <v>120</v>
      </c>
      <c r="R69" s="184" t="s">
        <v>120</v>
      </c>
      <c r="S69" s="184" t="s">
        <v>120</v>
      </c>
      <c r="T69" s="184" t="s">
        <v>120</v>
      </c>
      <c r="U69" s="103" t="s">
        <v>349</v>
      </c>
    </row>
    <row r="70" spans="1:21">
      <c r="A70" s="2">
        <v>68</v>
      </c>
      <c r="B70" s="76" t="s">
        <v>360</v>
      </c>
      <c r="C70" s="189" t="s">
        <v>361</v>
      </c>
      <c r="D70" s="190" t="s">
        <v>105</v>
      </c>
      <c r="E70" s="75" t="s">
        <v>25</v>
      </c>
      <c r="F70" s="75" t="s">
        <v>362</v>
      </c>
      <c r="G70" s="75" t="s">
        <v>363</v>
      </c>
      <c r="H70" s="190" t="s">
        <v>105</v>
      </c>
      <c r="I70" s="190" t="s">
        <v>105</v>
      </c>
      <c r="J70" s="127">
        <v>1</v>
      </c>
      <c r="K70" s="127">
        <f t="shared" ref="K70" si="18">J70*5</f>
        <v>5</v>
      </c>
      <c r="L70" s="127">
        <f t="shared" ref="L70" si="19">J70*50</f>
        <v>50</v>
      </c>
      <c r="M70" s="127">
        <f t="shared" ref="M70" si="20">J70*100</f>
        <v>100</v>
      </c>
      <c r="N70" s="151" t="s">
        <v>364</v>
      </c>
      <c r="O70" s="91">
        <v>14</v>
      </c>
      <c r="P70" s="128">
        <f>O70*K70</f>
        <v>70</v>
      </c>
      <c r="Q70" s="91">
        <v>14</v>
      </c>
      <c r="R70" s="128">
        <f>Q70*L70</f>
        <v>700</v>
      </c>
      <c r="S70" s="91">
        <v>14</v>
      </c>
      <c r="T70" s="128">
        <f>S70*M70</f>
        <v>1400</v>
      </c>
      <c r="U70" s="104" t="s">
        <v>365</v>
      </c>
    </row>
    <row r="71" spans="1:21" ht="18.75">
      <c r="I71" s="204" t="s">
        <v>366</v>
      </c>
      <c r="J71" s="204"/>
      <c r="K71" s="204"/>
      <c r="L71" s="204"/>
      <c r="M71" s="204"/>
      <c r="N71" s="204"/>
      <c r="P71" s="99">
        <f>SUM(P3:P70)</f>
        <v>317.55750000000006</v>
      </c>
      <c r="Q71" s="152"/>
      <c r="R71" s="99">
        <f>SUM(R3:R70)</f>
        <v>2632.2470000000003</v>
      </c>
      <c r="S71" s="99"/>
      <c r="T71" s="99">
        <f>SUM(T3:T70)</f>
        <v>4837.0959999999995</v>
      </c>
    </row>
    <row r="72" spans="1:21" ht="18.75">
      <c r="I72" s="205" t="s">
        <v>367</v>
      </c>
      <c r="J72" s="205"/>
      <c r="K72" s="205"/>
      <c r="L72" s="205"/>
      <c r="M72" s="205"/>
      <c r="N72" s="205"/>
      <c r="P72" s="100">
        <f>P71/5</f>
        <v>63.511500000000012</v>
      </c>
      <c r="Q72" s="153"/>
      <c r="R72" s="100">
        <f>R71/50</f>
        <v>52.644940000000005</v>
      </c>
      <c r="S72" s="100"/>
      <c r="T72" s="100">
        <f>T71/100</f>
        <v>48.370959999999997</v>
      </c>
    </row>
    <row r="73" spans="1:21" ht="18.75" customHeight="1">
      <c r="I73" s="205" t="s">
        <v>368</v>
      </c>
      <c r="J73" s="205"/>
      <c r="K73" s="205"/>
      <c r="L73" s="205"/>
      <c r="M73" s="205"/>
      <c r="N73" s="205"/>
      <c r="P73" s="101">
        <v>88</v>
      </c>
      <c r="Q73" s="56"/>
      <c r="R73" s="101">
        <v>88</v>
      </c>
      <c r="S73" s="56"/>
      <c r="T73" s="101">
        <v>88</v>
      </c>
    </row>
    <row r="74" spans="1:21">
      <c r="O74" s="102" t="s">
        <v>369</v>
      </c>
      <c r="P74" s="115">
        <f>SUM(P72:P73)</f>
        <v>151.51150000000001</v>
      </c>
      <c r="R74" s="128">
        <f>SUM(R72:R73)</f>
        <v>140.64494000000002</v>
      </c>
      <c r="T74" s="128">
        <f>SUM(T72:T73)</f>
        <v>136.37096</v>
      </c>
    </row>
  </sheetData>
  <mergeCells count="11">
    <mergeCell ref="A1:U1"/>
    <mergeCell ref="I71:N71"/>
    <mergeCell ref="I72:N72"/>
    <mergeCell ref="I73:N73"/>
    <mergeCell ref="B3:B16"/>
    <mergeCell ref="B17:B18"/>
    <mergeCell ref="B20:B25"/>
    <mergeCell ref="B26:B27"/>
    <mergeCell ref="B30:B47"/>
    <mergeCell ref="B48:B57"/>
    <mergeCell ref="B58:B69"/>
  </mergeCells>
  <conditionalFormatting sqref="J7">
    <cfRule type="colorScale" priority="135">
      <colorScale>
        <cfvo type="min"/>
        <cfvo type="percentile" val="50"/>
        <cfvo type="max"/>
        <color rgb="FFF8696B"/>
        <color rgb="FFFFEB84"/>
        <color rgb="FF63BE7B"/>
      </colorScale>
    </cfRule>
  </conditionalFormatting>
  <conditionalFormatting sqref="J8">
    <cfRule type="colorScale" priority="54">
      <colorScale>
        <cfvo type="min"/>
        <cfvo type="percentile" val="50"/>
        <cfvo type="max"/>
        <color rgb="FFF8696B"/>
        <color rgb="FFFFEB84"/>
        <color rgb="FF63BE7B"/>
      </colorScale>
    </cfRule>
  </conditionalFormatting>
  <conditionalFormatting sqref="J17:M17">
    <cfRule type="colorScale" priority="11">
      <colorScale>
        <cfvo type="min"/>
        <cfvo type="percentile" val="50"/>
        <cfvo type="max"/>
        <color rgb="FFF8696B"/>
        <color rgb="FFFFEB84"/>
        <color rgb="FF63BE7B"/>
      </colorScale>
    </cfRule>
  </conditionalFormatting>
  <conditionalFormatting sqref="S41">
    <cfRule type="dataBar" priority="1">
      <dataBar>
        <cfvo type="min"/>
        <cfvo type="max"/>
        <color rgb="FF63C384"/>
      </dataBar>
      <extLst>
        <ext xmlns:x14="http://schemas.microsoft.com/office/spreadsheetml/2009/9/main" uri="{B025F937-C7B1-47D3-B67F-A62EFF666E3E}">
          <x14:id>{F75FE40A-1106-4BBA-AA15-B5FB3452BBF7}</x14:id>
        </ext>
      </extLst>
    </cfRule>
  </conditionalFormatting>
  <conditionalFormatting sqref="J70">
    <cfRule type="colorScale" priority="9">
      <colorScale>
        <cfvo type="min"/>
        <cfvo type="percentile" val="50"/>
        <cfvo type="max"/>
        <color rgb="FFF8696B"/>
        <color rgb="FFFFEB84"/>
        <color rgb="FF63BE7B"/>
      </colorScale>
    </cfRule>
    <cfRule type="colorScale" priority="10">
      <colorScale>
        <cfvo type="min"/>
        <cfvo type="percentile" val="50"/>
        <cfvo type="max"/>
        <color rgb="FF63BE7B"/>
        <color rgb="FFFFEB84"/>
        <color rgb="FFF8696B"/>
      </colorScale>
    </cfRule>
  </conditionalFormatting>
  <conditionalFormatting sqref="P70">
    <cfRule type="dataBar" priority="8">
      <dataBar>
        <cfvo type="min"/>
        <cfvo type="max"/>
        <color rgb="FF638EC6"/>
      </dataBar>
      <extLst>
        <ext xmlns:x14="http://schemas.microsoft.com/office/spreadsheetml/2009/9/main" uri="{B025F937-C7B1-47D3-B67F-A62EFF666E3E}">
          <x14:id>{5482D776-99EA-49D6-8953-B1F3BAE36E17}</x14:id>
        </ext>
      </extLst>
    </cfRule>
  </conditionalFormatting>
  <conditionalFormatting sqref="R70">
    <cfRule type="dataBar" priority="7">
      <dataBar>
        <cfvo type="min"/>
        <cfvo type="max"/>
        <color rgb="FF63C384"/>
      </dataBar>
      <extLst>
        <ext xmlns:x14="http://schemas.microsoft.com/office/spreadsheetml/2009/9/main" uri="{B025F937-C7B1-47D3-B67F-A62EFF666E3E}">
          <x14:id>{25A0C6DA-1E9C-4E7D-B9CC-19FC381A0F39}</x14:id>
        </ext>
      </extLst>
    </cfRule>
  </conditionalFormatting>
  <conditionalFormatting sqref="T70">
    <cfRule type="dataBar" priority="6">
      <dataBar>
        <cfvo type="min"/>
        <cfvo type="max"/>
        <color rgb="FF63C384"/>
      </dataBar>
      <extLst>
        <ext xmlns:x14="http://schemas.microsoft.com/office/spreadsheetml/2009/9/main" uri="{B025F937-C7B1-47D3-B67F-A62EFF666E3E}">
          <x14:id>{0FB031C2-F06F-4EEF-AC93-6D8C6B15C790}</x14:id>
        </ext>
      </extLst>
    </cfRule>
  </conditionalFormatting>
  <conditionalFormatting sqref="P72:T72">
    <cfRule type="dataBar" priority="120">
      <dataBar>
        <cfvo type="min"/>
        <cfvo type="max"/>
        <color rgb="FFD6007B"/>
      </dataBar>
      <extLst>
        <ext xmlns:x14="http://schemas.microsoft.com/office/spreadsheetml/2009/9/main" uri="{B025F937-C7B1-47D3-B67F-A62EFF666E3E}">
          <x14:id>{4F248530-FF78-4AFB-9972-78C5E8A16803}</x14:id>
        </ext>
      </extLst>
    </cfRule>
  </conditionalFormatting>
  <conditionalFormatting sqref="P74">
    <cfRule type="dataBar" priority="5">
      <dataBar>
        <cfvo type="min"/>
        <cfvo type="max"/>
        <color rgb="FF638EC6"/>
      </dataBar>
      <extLst>
        <ext xmlns:x14="http://schemas.microsoft.com/office/spreadsheetml/2009/9/main" uri="{B025F937-C7B1-47D3-B67F-A62EFF666E3E}">
          <x14:id>{069B0DFB-F23B-4EE6-92FE-EB12C3BACDC9}</x14:id>
        </ext>
      </extLst>
    </cfRule>
  </conditionalFormatting>
  <conditionalFormatting sqref="R74">
    <cfRule type="dataBar" priority="4">
      <dataBar>
        <cfvo type="min"/>
        <cfvo type="max"/>
        <color rgb="FF63C384"/>
      </dataBar>
      <extLst>
        <ext xmlns:x14="http://schemas.microsoft.com/office/spreadsheetml/2009/9/main" uri="{B025F937-C7B1-47D3-B67F-A62EFF666E3E}">
          <x14:id>{CBD1044C-1F85-4CD0-B761-71AC776F2265}</x14:id>
        </ext>
      </extLst>
    </cfRule>
  </conditionalFormatting>
  <conditionalFormatting sqref="T74">
    <cfRule type="dataBar" priority="3">
      <dataBar>
        <cfvo type="min"/>
        <cfvo type="max"/>
        <color rgb="FF63C384"/>
      </dataBar>
      <extLst>
        <ext xmlns:x14="http://schemas.microsoft.com/office/spreadsheetml/2009/9/main" uri="{B025F937-C7B1-47D3-B67F-A62EFF666E3E}">
          <x14:id>{A8B8BC5B-7F45-4343-8564-0A9BC2F1AF33}</x14:id>
        </ext>
      </extLst>
    </cfRule>
  </conditionalFormatting>
  <conditionalFormatting sqref="J3:J10">
    <cfRule type="colorScale" priority="148">
      <colorScale>
        <cfvo type="min"/>
        <cfvo type="percentile" val="50"/>
        <cfvo type="max"/>
        <color rgb="FF63BE7B"/>
        <color rgb="FFFFEB84"/>
        <color rgb="FFF8696B"/>
      </colorScale>
    </cfRule>
  </conditionalFormatting>
  <conditionalFormatting sqref="J9:J10">
    <cfRule type="colorScale" priority="48">
      <colorScale>
        <cfvo type="min"/>
        <cfvo type="percentile" val="50"/>
        <cfvo type="max"/>
        <color rgb="FFF8696B"/>
        <color rgb="FFFFEB84"/>
        <color rgb="FF63BE7B"/>
      </colorScale>
    </cfRule>
  </conditionalFormatting>
  <conditionalFormatting sqref="J19:J22">
    <cfRule type="colorScale" priority="29">
      <colorScale>
        <cfvo type="min"/>
        <cfvo type="percentile" val="50"/>
        <cfvo type="max"/>
        <color rgb="FFF8696B"/>
        <color rgb="FFFFEB84"/>
        <color rgb="FF63BE7B"/>
      </colorScale>
    </cfRule>
    <cfRule type="colorScale" priority="30">
      <colorScale>
        <cfvo type="min"/>
        <cfvo type="percentile" val="50"/>
        <cfvo type="max"/>
        <color rgb="FF63BE7B"/>
        <color rgb="FFFFEB84"/>
        <color rgb="FFF8696B"/>
      </colorScale>
    </cfRule>
  </conditionalFormatting>
  <conditionalFormatting sqref="J23:J24">
    <cfRule type="colorScale" priority="25">
      <colorScale>
        <cfvo type="min"/>
        <cfvo type="percentile" val="50"/>
        <cfvo type="max"/>
        <color rgb="FFF8696B"/>
        <color rgb="FFFFEB84"/>
        <color rgb="FF63BE7B"/>
      </colorScale>
    </cfRule>
    <cfRule type="colorScale" priority="26">
      <colorScale>
        <cfvo type="min"/>
        <cfvo type="percentile" val="50"/>
        <cfvo type="max"/>
        <color rgb="FF63BE7B"/>
        <color rgb="FFFFEB84"/>
        <color rgb="FFF8696B"/>
      </colorScale>
    </cfRule>
  </conditionalFormatting>
  <conditionalFormatting sqref="P3:P65">
    <cfRule type="dataBar" priority="58">
      <dataBar>
        <cfvo type="min"/>
        <cfvo type="max"/>
        <color rgb="FF638EC6"/>
      </dataBar>
      <extLst>
        <ext xmlns:x14="http://schemas.microsoft.com/office/spreadsheetml/2009/9/main" uri="{B025F937-C7B1-47D3-B67F-A62EFF666E3E}">
          <x14:id>{49CFFFC7-7624-4BE7-92E0-A63DEDB299EE}</x14:id>
        </ext>
      </extLst>
    </cfRule>
  </conditionalFormatting>
  <conditionalFormatting sqref="J3:M3 J4:J6 K4:M16 K18:M70">
    <cfRule type="colorScale" priority="151">
      <colorScale>
        <cfvo type="min"/>
        <cfvo type="percentile" val="50"/>
        <cfvo type="max"/>
        <color rgb="FFF8696B"/>
        <color rgb="FFFFEB84"/>
        <color rgb="FF63BE7B"/>
      </colorScale>
    </cfRule>
  </conditionalFormatting>
  <conditionalFormatting sqref="K3:M16 K18:M70">
    <cfRule type="colorScale" priority="149">
      <colorScale>
        <cfvo type="min"/>
        <cfvo type="percentile" val="50"/>
        <cfvo type="max"/>
        <color rgb="FF63BE7B"/>
        <color rgb="FFFFEB84"/>
        <color rgb="FFF8696B"/>
      </colorScale>
    </cfRule>
  </conditionalFormatting>
  <conditionalFormatting sqref="R3:T23 R25:T40 T41:T65 Q41:R41 R42:S65 Q24:T24">
    <cfRule type="dataBar" priority="121">
      <dataBar>
        <cfvo type="min"/>
        <cfvo type="max"/>
        <color rgb="FF63C384"/>
      </dataBar>
      <extLst>
        <ext xmlns:x14="http://schemas.microsoft.com/office/spreadsheetml/2009/9/main" uri="{B025F937-C7B1-47D3-B67F-A62EFF666E3E}">
          <x14:id>{12FEA966-648B-449E-80AF-CE4C7EC5A02C}</x14:id>
        </ext>
      </extLst>
    </cfRule>
  </conditionalFormatting>
  <conditionalFormatting sqref="J11:J16 J18">
    <cfRule type="colorScale" priority="33">
      <colorScale>
        <cfvo type="min"/>
        <cfvo type="percentile" val="50"/>
        <cfvo type="max"/>
        <color rgb="FFF8696B"/>
        <color rgb="FFFFEB84"/>
        <color rgb="FF63BE7B"/>
      </colorScale>
    </cfRule>
    <cfRule type="colorScale" priority="34">
      <colorScale>
        <cfvo type="min"/>
        <cfvo type="percentile" val="50"/>
        <cfvo type="max"/>
        <color rgb="FF63BE7B"/>
        <color rgb="FFFFEB84"/>
        <color rgb="FFF8696B"/>
      </colorScale>
    </cfRule>
  </conditionalFormatting>
  <conditionalFormatting sqref="J25:J33 J69 J62 J46:J52 J66:J67">
    <cfRule type="colorScale" priority="23">
      <colorScale>
        <cfvo type="min"/>
        <cfvo type="percentile" val="50"/>
        <cfvo type="max"/>
        <color rgb="FF63BE7B"/>
        <color rgb="FFFFEB84"/>
        <color rgb="FFF8696B"/>
      </colorScale>
    </cfRule>
  </conditionalFormatting>
  <conditionalFormatting sqref="J25:J28 J69 J62 J66:J67 J46:J47">
    <cfRule type="colorScale" priority="24">
      <colorScale>
        <cfvo type="min"/>
        <cfvo type="percentile" val="50"/>
        <cfvo type="max"/>
        <color rgb="FFF8696B"/>
        <color rgb="FFFFEB84"/>
        <color rgb="FF63BE7B"/>
      </colorScale>
    </cfRule>
  </conditionalFormatting>
  <conditionalFormatting sqref="J48 J29">
    <cfRule type="colorScale" priority="21">
      <colorScale>
        <cfvo type="min"/>
        <cfvo type="percentile" val="50"/>
        <cfvo type="max"/>
        <color rgb="FFF8696B"/>
        <color rgb="FFFFEB84"/>
        <color rgb="FF63BE7B"/>
      </colorScale>
    </cfRule>
  </conditionalFormatting>
  <conditionalFormatting sqref="J49 J30">
    <cfRule type="colorScale" priority="20">
      <colorScale>
        <cfvo type="min"/>
        <cfvo type="percentile" val="50"/>
        <cfvo type="max"/>
        <color rgb="FFF8696B"/>
        <color rgb="FFFFEB84"/>
        <color rgb="FF63BE7B"/>
      </colorScale>
    </cfRule>
  </conditionalFormatting>
  <conditionalFormatting sqref="J31:J32 J50:J51">
    <cfRule type="colorScale" priority="19">
      <colorScale>
        <cfvo type="min"/>
        <cfvo type="percentile" val="50"/>
        <cfvo type="max"/>
        <color rgb="FFF8696B"/>
        <color rgb="FFFFEB84"/>
        <color rgb="FF63BE7B"/>
      </colorScale>
    </cfRule>
  </conditionalFormatting>
  <conditionalFormatting sqref="J52 J33">
    <cfRule type="colorScale" priority="22">
      <colorScale>
        <cfvo type="min"/>
        <cfvo type="percentile" val="50"/>
        <cfvo type="max"/>
        <color rgb="FFF8696B"/>
        <color rgb="FFFFEB84"/>
        <color rgb="FF63BE7B"/>
      </colorScale>
    </cfRule>
  </conditionalFormatting>
  <conditionalFormatting sqref="J34:J38 J53:J60">
    <cfRule type="colorScale" priority="17">
      <colorScale>
        <cfvo type="min"/>
        <cfvo type="percentile" val="50"/>
        <cfvo type="max"/>
        <color rgb="FFF8696B"/>
        <color rgb="FFFFEB84"/>
        <color rgb="FF63BE7B"/>
      </colorScale>
    </cfRule>
    <cfRule type="colorScale" priority="18">
      <colorScale>
        <cfvo type="min"/>
        <cfvo type="percentile" val="50"/>
        <cfvo type="max"/>
        <color rgb="FF63BE7B"/>
        <color rgb="FFFFEB84"/>
        <color rgb="FFF8696B"/>
      </colorScale>
    </cfRule>
  </conditionalFormatting>
  <conditionalFormatting sqref="J39:J44 J63:J64 J68 J61">
    <cfRule type="colorScale" priority="15">
      <colorScale>
        <cfvo type="min"/>
        <cfvo type="percentile" val="50"/>
        <cfvo type="max"/>
        <color rgb="FFF8696B"/>
        <color rgb="FFFFEB84"/>
        <color rgb="FF63BE7B"/>
      </colorScale>
    </cfRule>
    <cfRule type="colorScale" priority="16">
      <colorScale>
        <cfvo type="min"/>
        <cfvo type="percentile" val="50"/>
        <cfvo type="max"/>
        <color rgb="FF63BE7B"/>
        <color rgb="FFFFEB84"/>
        <color rgb="FFF8696B"/>
      </colorScale>
    </cfRule>
  </conditionalFormatting>
  <conditionalFormatting sqref="J45 J65">
    <cfRule type="colorScale" priority="13">
      <colorScale>
        <cfvo type="min"/>
        <cfvo type="percentile" val="50"/>
        <cfvo type="max"/>
        <color rgb="FFF8696B"/>
        <color rgb="FFFFEB84"/>
        <color rgb="FF63BE7B"/>
      </colorScale>
    </cfRule>
    <cfRule type="colorScale" priority="14">
      <colorScale>
        <cfvo type="min"/>
        <cfvo type="percentile" val="50"/>
        <cfvo type="max"/>
        <color rgb="FF63BE7B"/>
        <color rgb="FFFFEB84"/>
        <color rgb="FFF8696B"/>
      </colorScale>
    </cfRule>
  </conditionalFormatting>
  <hyperlinks>
    <hyperlink ref="N3" r:id="rId1"/>
    <hyperlink ref="N5" r:id="rId2"/>
    <hyperlink ref="N6" r:id="rId3"/>
    <hyperlink ref="N7" r:id="rId4"/>
    <hyperlink ref="N8" r:id="rId5"/>
    <hyperlink ref="N9" r:id="rId6"/>
    <hyperlink ref="N10" r:id="rId7"/>
    <hyperlink ref="N11" r:id="rId8"/>
    <hyperlink ref="N12" r:id="rId9"/>
    <hyperlink ref="N13" r:id="rId10"/>
    <hyperlink ref="N14" r:id="rId11"/>
    <hyperlink ref="N15" r:id="rId12"/>
    <hyperlink ref="N16" r:id="rId13"/>
    <hyperlink ref="N18" r:id="rId14"/>
    <hyperlink ref="N25" r:id="rId15"/>
    <hyperlink ref="N27" r:id="rId16"/>
    <hyperlink ref="N31" r:id="rId17"/>
    <hyperlink ref="N32" r:id="rId18"/>
    <hyperlink ref="N33" r:id="rId19"/>
    <hyperlink ref="N34" r:id="rId20"/>
    <hyperlink ref="N35" r:id="rId21"/>
    <hyperlink ref="N36" r:id="rId22"/>
    <hyperlink ref="N37" r:id="rId23"/>
    <hyperlink ref="N38" r:id="rId24"/>
    <hyperlink ref="N39" r:id="rId25"/>
    <hyperlink ref="N40" r:id="rId26"/>
    <hyperlink ref="N45" r:id="rId27"/>
    <hyperlink ref="N46" r:id="rId28"/>
    <hyperlink ref="N51" r:id="rId29"/>
    <hyperlink ref="N53" r:id="rId30"/>
    <hyperlink ref="N56" r:id="rId31"/>
    <hyperlink ref="N57" r:id="rId32"/>
    <hyperlink ref="N61" r:id="rId33"/>
    <hyperlink ref="N30" r:id="rId34"/>
    <hyperlink ref="N43" r:id="rId35"/>
    <hyperlink ref="N44" r:id="rId36"/>
    <hyperlink ref="N19" r:id="rId37"/>
    <hyperlink ref="N20" r:id="rId38"/>
    <hyperlink ref="N21" r:id="rId39"/>
    <hyperlink ref="N22" r:id="rId40"/>
    <hyperlink ref="N23" r:id="rId41"/>
    <hyperlink ref="N29" r:id="rId42"/>
    <hyperlink ref="N48" r:id="rId43"/>
    <hyperlink ref="N50" r:id="rId44"/>
    <hyperlink ref="N4" r:id="rId45"/>
    <hyperlink ref="N26" r:id="rId46"/>
    <hyperlink ref="N28" r:id="rId47"/>
    <hyperlink ref="N49" r:id="rId48"/>
    <hyperlink ref="N52" r:id="rId49"/>
    <hyperlink ref="N54" r:id="rId50"/>
    <hyperlink ref="N55" r:id="rId51"/>
    <hyperlink ref="N59" r:id="rId52"/>
    <hyperlink ref="N60" r:id="rId53"/>
    <hyperlink ref="N63" r:id="rId54"/>
    <hyperlink ref="N64" r:id="rId55"/>
    <hyperlink ref="N65" r:id="rId56"/>
    <hyperlink ref="N62" r:id="rId57"/>
    <hyperlink ref="N17" r:id="rId58"/>
    <hyperlink ref="N70" r:id="rId59"/>
    <hyperlink ref="N41" r:id="rId60"/>
    <hyperlink ref="N42" r:id="rId61"/>
    <hyperlink ref="N47" r:id="rId62"/>
    <hyperlink ref="N58" r:id="rId63"/>
    <hyperlink ref="N24" r:id="rId64"/>
  </hyperlinks>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dataBar" id="{F75FE40A-1106-4BBA-AA15-B5FB3452BBF7}">
            <x14:dataBar minLength="0" maxLength="100" border="1" negativeBarBorderColorSameAsPositive="0">
              <x14:cfvo type="autoMin"/>
              <x14:cfvo type="autoMax"/>
              <x14:borderColor rgb="FF63C384"/>
              <x14:negativeFillColor rgb="FFFF0000"/>
              <x14:negativeBorderColor rgb="FFFF0000"/>
              <x14:axisColor rgb="FF000000"/>
            </x14:dataBar>
          </x14:cfRule>
          <xm:sqref>S41</xm:sqref>
        </x14:conditionalFormatting>
        <x14:conditionalFormatting xmlns:xm="http://schemas.microsoft.com/office/excel/2006/main">
          <x14:cfRule type="dataBar" id="{5482D776-99EA-49D6-8953-B1F3BAE36E17}">
            <x14:dataBar minLength="0" maxLength="100" border="1" negativeBarBorderColorSameAsPositive="0">
              <x14:cfvo type="autoMin"/>
              <x14:cfvo type="autoMax"/>
              <x14:borderColor rgb="FF638EC6"/>
              <x14:negativeFillColor rgb="FFFF0000"/>
              <x14:negativeBorderColor rgb="FFFF0000"/>
              <x14:axisColor rgb="FF000000"/>
            </x14:dataBar>
          </x14:cfRule>
          <xm:sqref>P70</xm:sqref>
        </x14:conditionalFormatting>
        <x14:conditionalFormatting xmlns:xm="http://schemas.microsoft.com/office/excel/2006/main">
          <x14:cfRule type="dataBar" id="{25A0C6DA-1E9C-4E7D-B9CC-19FC381A0F39}">
            <x14:dataBar minLength="0" maxLength="100" border="1" negativeBarBorderColorSameAsPositive="0">
              <x14:cfvo type="autoMin"/>
              <x14:cfvo type="autoMax"/>
              <x14:borderColor rgb="FF63C384"/>
              <x14:negativeFillColor rgb="FFFF0000"/>
              <x14:negativeBorderColor rgb="FFFF0000"/>
              <x14:axisColor rgb="FF000000"/>
            </x14:dataBar>
          </x14:cfRule>
          <xm:sqref>R70</xm:sqref>
        </x14:conditionalFormatting>
        <x14:conditionalFormatting xmlns:xm="http://schemas.microsoft.com/office/excel/2006/main">
          <x14:cfRule type="dataBar" id="{0FB031C2-F06F-4EEF-AC93-6D8C6B15C790}">
            <x14:dataBar minLength="0" maxLength="100" border="1" negativeBarBorderColorSameAsPositive="0">
              <x14:cfvo type="autoMin"/>
              <x14:cfvo type="autoMax"/>
              <x14:borderColor rgb="FF63C384"/>
              <x14:negativeFillColor rgb="FFFF0000"/>
              <x14:negativeBorderColor rgb="FFFF0000"/>
              <x14:axisColor rgb="FF000000"/>
            </x14:dataBar>
          </x14:cfRule>
          <xm:sqref>T70</xm:sqref>
        </x14:conditionalFormatting>
        <x14:conditionalFormatting xmlns:xm="http://schemas.microsoft.com/office/excel/2006/main">
          <x14:cfRule type="dataBar" id="{4F248530-FF78-4AFB-9972-78C5E8A16803}">
            <x14:dataBar minLength="0" maxLength="100" border="1" negativeBarBorderColorSameAsPositive="0">
              <x14:cfvo type="autoMin"/>
              <x14:cfvo type="autoMax"/>
              <x14:borderColor rgb="FFD6007B"/>
              <x14:negativeFillColor rgb="FFFF0000"/>
              <x14:negativeBorderColor rgb="FFFF0000"/>
              <x14:axisColor rgb="FF000000"/>
            </x14:dataBar>
          </x14:cfRule>
          <xm:sqref>P72:T72</xm:sqref>
        </x14:conditionalFormatting>
        <x14:conditionalFormatting xmlns:xm="http://schemas.microsoft.com/office/excel/2006/main">
          <x14:cfRule type="dataBar" id="{069B0DFB-F23B-4EE6-92FE-EB12C3BACDC9}">
            <x14:dataBar minLength="0" maxLength="100" border="1" negativeBarBorderColorSameAsPositive="0">
              <x14:cfvo type="autoMin"/>
              <x14:cfvo type="autoMax"/>
              <x14:borderColor rgb="FF638EC6"/>
              <x14:negativeFillColor rgb="FFFF0000"/>
              <x14:negativeBorderColor rgb="FFFF0000"/>
              <x14:axisColor rgb="FF000000"/>
            </x14:dataBar>
          </x14:cfRule>
          <xm:sqref>P74</xm:sqref>
        </x14:conditionalFormatting>
        <x14:conditionalFormatting xmlns:xm="http://schemas.microsoft.com/office/excel/2006/main">
          <x14:cfRule type="dataBar" id="{CBD1044C-1F85-4CD0-B761-71AC776F2265}">
            <x14:dataBar minLength="0" maxLength="100" border="1" negativeBarBorderColorSameAsPositive="0">
              <x14:cfvo type="autoMin"/>
              <x14:cfvo type="autoMax"/>
              <x14:borderColor rgb="FF63C384"/>
              <x14:negativeFillColor rgb="FFFF0000"/>
              <x14:negativeBorderColor rgb="FFFF0000"/>
              <x14:axisColor rgb="FF000000"/>
            </x14:dataBar>
          </x14:cfRule>
          <xm:sqref>R74</xm:sqref>
        </x14:conditionalFormatting>
        <x14:conditionalFormatting xmlns:xm="http://schemas.microsoft.com/office/excel/2006/main">
          <x14:cfRule type="dataBar" id="{A8B8BC5B-7F45-4343-8564-0A9BC2F1AF33}">
            <x14:dataBar minLength="0" maxLength="100" border="1" negativeBarBorderColorSameAsPositive="0">
              <x14:cfvo type="autoMin"/>
              <x14:cfvo type="autoMax"/>
              <x14:borderColor rgb="FF63C384"/>
              <x14:negativeFillColor rgb="FFFF0000"/>
              <x14:negativeBorderColor rgb="FFFF0000"/>
              <x14:axisColor rgb="FF000000"/>
            </x14:dataBar>
          </x14:cfRule>
          <xm:sqref>T74</xm:sqref>
        </x14:conditionalFormatting>
        <x14:conditionalFormatting xmlns:xm="http://schemas.microsoft.com/office/excel/2006/main">
          <x14:cfRule type="dataBar" id="{49CFFFC7-7624-4BE7-92E0-A63DEDB299EE}">
            <x14:dataBar minLength="0" maxLength="100" border="1" negativeBarBorderColorSameAsPositive="0">
              <x14:cfvo type="autoMin"/>
              <x14:cfvo type="autoMax"/>
              <x14:borderColor rgb="FF638EC6"/>
              <x14:negativeFillColor rgb="FFFF0000"/>
              <x14:negativeBorderColor rgb="FFFF0000"/>
              <x14:axisColor rgb="FF000000"/>
            </x14:dataBar>
          </x14:cfRule>
          <xm:sqref>P3:P65</xm:sqref>
        </x14:conditionalFormatting>
        <x14:conditionalFormatting xmlns:xm="http://schemas.microsoft.com/office/excel/2006/main">
          <x14:cfRule type="dataBar" id="{12FEA966-648B-449E-80AF-CE4C7EC5A02C}">
            <x14:dataBar minLength="0" maxLength="100" border="1" negativeBarBorderColorSameAsPositive="0">
              <x14:cfvo type="autoMin"/>
              <x14:cfvo type="autoMax"/>
              <x14:borderColor rgb="FF63C384"/>
              <x14:negativeFillColor rgb="FFFF0000"/>
              <x14:negativeBorderColor rgb="FFFF0000"/>
              <x14:axisColor rgb="FF000000"/>
            </x14:dataBar>
          </x14:cfRule>
          <xm:sqref>R3:T23 R25:T40 T41:T65 Q41:R41 R42:S65 Q24:T24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tabSelected="1" topLeftCell="J49" workbookViewId="0">
      <selection activeCell="T68" sqref="T68"/>
    </sheetView>
  </sheetViews>
  <sheetFormatPr defaultColWidth="9.140625" defaultRowHeight="15"/>
  <cols>
    <col min="2" max="2" width="22" customWidth="1"/>
    <col min="3" max="3" width="66.140625" customWidth="1"/>
    <col min="4" max="4" width="29" customWidth="1"/>
    <col min="5" max="5" width="9.5703125" customWidth="1"/>
    <col min="6" max="6" width="27.85546875" customWidth="1"/>
    <col min="7" max="7" width="27.7109375" customWidth="1"/>
    <col min="8" max="8" width="26.5703125" customWidth="1"/>
    <col min="9" max="9" width="7" customWidth="1"/>
    <col min="10" max="10" width="20.85546875" customWidth="1"/>
    <col min="11" max="11" width="10.85546875" customWidth="1"/>
    <col min="12" max="12" width="11.85546875" customWidth="1"/>
    <col min="13" max="13" width="13" customWidth="1"/>
    <col min="14" max="14" width="15" customWidth="1"/>
    <col min="15" max="15" width="12.42578125" customWidth="1"/>
    <col min="16" max="16" width="13" customWidth="1"/>
    <col min="17" max="17" width="54.140625" customWidth="1"/>
  </cols>
  <sheetData>
    <row r="1" spans="1:17" ht="15.75">
      <c r="A1" s="211" t="s">
        <v>0</v>
      </c>
      <c r="B1" s="212"/>
      <c r="C1" s="212"/>
      <c r="D1" s="212"/>
      <c r="E1" s="212"/>
      <c r="F1" s="212"/>
      <c r="G1" s="212"/>
      <c r="H1" s="212"/>
      <c r="I1" s="212"/>
      <c r="J1" s="212"/>
      <c r="K1" s="212"/>
      <c r="L1" s="212"/>
      <c r="M1" s="212"/>
      <c r="N1" s="212"/>
      <c r="O1" s="212"/>
      <c r="P1" s="212"/>
      <c r="Q1" s="213"/>
    </row>
    <row r="2" spans="1:17">
      <c r="A2" s="2" t="s">
        <v>1</v>
      </c>
      <c r="B2" s="3" t="s">
        <v>2</v>
      </c>
      <c r="C2" s="3" t="s">
        <v>3</v>
      </c>
      <c r="D2" s="4" t="s">
        <v>4</v>
      </c>
      <c r="E2" s="4" t="s">
        <v>5</v>
      </c>
      <c r="F2" s="4" t="s">
        <v>6</v>
      </c>
      <c r="G2" s="4" t="s">
        <v>7</v>
      </c>
      <c r="H2" s="4" t="s">
        <v>8</v>
      </c>
      <c r="I2" s="4" t="s">
        <v>9</v>
      </c>
      <c r="J2" s="4" t="s">
        <v>10</v>
      </c>
      <c r="K2" s="4" t="s">
        <v>11</v>
      </c>
      <c r="L2" s="4" t="s">
        <v>12</v>
      </c>
      <c r="M2" s="4" t="s">
        <v>13</v>
      </c>
      <c r="N2" s="24" t="s">
        <v>14</v>
      </c>
      <c r="O2" s="4" t="s">
        <v>15</v>
      </c>
      <c r="P2" s="4" t="s">
        <v>16</v>
      </c>
      <c r="Q2" s="4" t="s">
        <v>21</v>
      </c>
    </row>
    <row r="3" spans="1:17">
      <c r="A3" s="2">
        <v>1</v>
      </c>
      <c r="B3" s="206" t="s">
        <v>22</v>
      </c>
      <c r="C3" s="154" t="s">
        <v>23</v>
      </c>
      <c r="D3" s="155" t="s">
        <v>24</v>
      </c>
      <c r="E3" s="155" t="s">
        <v>25</v>
      </c>
      <c r="F3" s="155" t="s">
        <v>26</v>
      </c>
      <c r="G3" s="5" t="s">
        <v>27</v>
      </c>
      <c r="H3" s="155" t="s">
        <v>28</v>
      </c>
      <c r="I3" s="155" t="s">
        <v>29</v>
      </c>
      <c r="J3" s="5">
        <v>1</v>
      </c>
      <c r="K3" s="5">
        <f t="shared" ref="K3:K66" si="0">J3*5</f>
        <v>5</v>
      </c>
      <c r="L3" s="5">
        <f t="shared" ref="L3:L66" si="1">J3*50</f>
        <v>50</v>
      </c>
      <c r="M3" s="5">
        <f t="shared" ref="M3:M66" si="2">J3*100</f>
        <v>100</v>
      </c>
      <c r="N3" s="25" t="s">
        <v>30</v>
      </c>
      <c r="O3" s="26">
        <v>0.43</v>
      </c>
      <c r="P3" s="27">
        <f t="shared" ref="P3:P65" si="3">O3*K3</f>
        <v>2.15</v>
      </c>
      <c r="Q3" s="58"/>
    </row>
    <row r="4" spans="1:17">
      <c r="A4" s="6">
        <v>2</v>
      </c>
      <c r="B4" s="207"/>
      <c r="C4" s="157" t="s">
        <v>31</v>
      </c>
      <c r="D4" s="158" t="s">
        <v>32</v>
      </c>
      <c r="E4" s="158" t="s">
        <v>25</v>
      </c>
      <c r="F4" s="159" t="s">
        <v>33</v>
      </c>
      <c r="G4" s="8" t="s">
        <v>34</v>
      </c>
      <c r="H4" s="158" t="s">
        <v>35</v>
      </c>
      <c r="I4" s="158" t="s">
        <v>36</v>
      </c>
      <c r="J4" s="8">
        <v>1</v>
      </c>
      <c r="K4" s="8">
        <f t="shared" si="0"/>
        <v>5</v>
      </c>
      <c r="L4" s="8">
        <f t="shared" si="1"/>
        <v>50</v>
      </c>
      <c r="M4" s="8">
        <f t="shared" si="2"/>
        <v>100</v>
      </c>
      <c r="N4" s="28" t="s">
        <v>30</v>
      </c>
      <c r="O4" s="29">
        <v>0.47</v>
      </c>
      <c r="P4" s="30">
        <f t="shared" si="3"/>
        <v>2.3499999999999996</v>
      </c>
      <c r="Q4" s="59" t="s">
        <v>37</v>
      </c>
    </row>
    <row r="5" spans="1:17" s="1" customFormat="1" ht="45.95" customHeight="1">
      <c r="A5" s="6">
        <v>3</v>
      </c>
      <c r="B5" s="210"/>
      <c r="C5" s="157" t="s">
        <v>38</v>
      </c>
      <c r="D5" s="191" t="s">
        <v>39</v>
      </c>
      <c r="E5" s="158" t="s">
        <v>40</v>
      </c>
      <c r="F5" s="158" t="s">
        <v>41</v>
      </c>
      <c r="G5" s="8" t="s">
        <v>42</v>
      </c>
      <c r="H5" s="158" t="s">
        <v>28</v>
      </c>
      <c r="I5" s="158" t="s">
        <v>43</v>
      </c>
      <c r="J5" s="8">
        <v>16</v>
      </c>
      <c r="K5" s="8">
        <f t="shared" si="0"/>
        <v>80</v>
      </c>
      <c r="L5" s="8">
        <f t="shared" si="1"/>
        <v>800</v>
      </c>
      <c r="M5" s="8">
        <f t="shared" si="2"/>
        <v>1600</v>
      </c>
      <c r="N5" s="31" t="s">
        <v>30</v>
      </c>
      <c r="O5" s="29">
        <v>1.5800000000000002E-2</v>
      </c>
      <c r="P5" s="30">
        <f t="shared" si="3"/>
        <v>1.2640000000000002</v>
      </c>
      <c r="Q5" s="60" t="s">
        <v>370</v>
      </c>
    </row>
    <row r="6" spans="1:17">
      <c r="A6" s="2">
        <v>4</v>
      </c>
      <c r="B6" s="207"/>
      <c r="C6" s="157" t="s">
        <v>45</v>
      </c>
      <c r="D6" s="158" t="s">
        <v>46</v>
      </c>
      <c r="E6" s="158" t="s">
        <v>47</v>
      </c>
      <c r="F6" s="158" t="s">
        <v>48</v>
      </c>
      <c r="G6" s="8" t="s">
        <v>49</v>
      </c>
      <c r="H6" s="158" t="s">
        <v>28</v>
      </c>
      <c r="I6" s="158" t="s">
        <v>50</v>
      </c>
      <c r="J6" s="8">
        <v>2</v>
      </c>
      <c r="K6" s="8">
        <f t="shared" si="0"/>
        <v>10</v>
      </c>
      <c r="L6" s="8">
        <f t="shared" si="1"/>
        <v>100</v>
      </c>
      <c r="M6" s="8">
        <f t="shared" si="2"/>
        <v>200</v>
      </c>
      <c r="N6" s="162" t="s">
        <v>30</v>
      </c>
      <c r="O6" s="30">
        <v>0.30199999999999999</v>
      </c>
      <c r="P6" s="30">
        <f t="shared" si="3"/>
        <v>3.02</v>
      </c>
      <c r="Q6" s="61"/>
    </row>
    <row r="7" spans="1:17">
      <c r="A7" s="2">
        <v>5</v>
      </c>
      <c r="B7" s="207"/>
      <c r="C7" s="157" t="s">
        <v>51</v>
      </c>
      <c r="D7" s="158" t="s">
        <v>52</v>
      </c>
      <c r="E7" s="158" t="s">
        <v>25</v>
      </c>
      <c r="F7" s="158" t="s">
        <v>53</v>
      </c>
      <c r="G7" s="8" t="s">
        <v>54</v>
      </c>
      <c r="H7" s="158" t="s">
        <v>28</v>
      </c>
      <c r="I7" s="158" t="s">
        <v>55</v>
      </c>
      <c r="J7" s="8">
        <v>2</v>
      </c>
      <c r="K7" s="8">
        <f t="shared" si="0"/>
        <v>10</v>
      </c>
      <c r="L7" s="8">
        <f t="shared" si="1"/>
        <v>100</v>
      </c>
      <c r="M7" s="8">
        <f t="shared" si="2"/>
        <v>200</v>
      </c>
      <c r="N7" s="162" t="s">
        <v>30</v>
      </c>
      <c r="O7" s="30">
        <v>0.378</v>
      </c>
      <c r="P7" s="30">
        <f t="shared" si="3"/>
        <v>3.7800000000000002</v>
      </c>
      <c r="Q7" s="61"/>
    </row>
    <row r="8" spans="1:17">
      <c r="A8" s="2">
        <v>6</v>
      </c>
      <c r="B8" s="207"/>
      <c r="C8" s="157" t="s">
        <v>56</v>
      </c>
      <c r="D8" s="158" t="s">
        <v>57</v>
      </c>
      <c r="E8" s="158" t="s">
        <v>58</v>
      </c>
      <c r="F8" s="158" t="s">
        <v>59</v>
      </c>
      <c r="G8" s="8" t="s">
        <v>60</v>
      </c>
      <c r="H8" s="158" t="s">
        <v>28</v>
      </c>
      <c r="I8" s="158" t="s">
        <v>61</v>
      </c>
      <c r="J8" s="8">
        <v>1</v>
      </c>
      <c r="K8" s="8">
        <f t="shared" si="0"/>
        <v>5</v>
      </c>
      <c r="L8" s="8">
        <f t="shared" si="1"/>
        <v>50</v>
      </c>
      <c r="M8" s="8">
        <f t="shared" si="2"/>
        <v>100</v>
      </c>
      <c r="N8" s="162" t="s">
        <v>30</v>
      </c>
      <c r="O8" s="30">
        <v>0.11</v>
      </c>
      <c r="P8" s="30">
        <f t="shared" si="3"/>
        <v>0.55000000000000004</v>
      </c>
      <c r="Q8" s="61"/>
    </row>
    <row r="9" spans="1:17">
      <c r="A9" s="2">
        <v>7</v>
      </c>
      <c r="B9" s="207"/>
      <c r="C9" s="157" t="s">
        <v>62</v>
      </c>
      <c r="D9" s="158" t="s">
        <v>63</v>
      </c>
      <c r="E9" s="158" t="s">
        <v>64</v>
      </c>
      <c r="F9" s="159" t="s">
        <v>65</v>
      </c>
      <c r="G9" s="8" t="s">
        <v>49</v>
      </c>
      <c r="H9" s="158" t="s">
        <v>66</v>
      </c>
      <c r="I9" s="158" t="s">
        <v>67</v>
      </c>
      <c r="J9" s="8">
        <v>4</v>
      </c>
      <c r="K9" s="8">
        <f t="shared" si="0"/>
        <v>20</v>
      </c>
      <c r="L9" s="8">
        <f t="shared" si="1"/>
        <v>200</v>
      </c>
      <c r="M9" s="8">
        <f t="shared" si="2"/>
        <v>400</v>
      </c>
      <c r="N9" s="162" t="s">
        <v>30</v>
      </c>
      <c r="O9" s="30">
        <v>2.5999999999999999E-2</v>
      </c>
      <c r="P9" s="30">
        <f t="shared" si="3"/>
        <v>0.52</v>
      </c>
      <c r="Q9" s="61"/>
    </row>
    <row r="10" spans="1:17">
      <c r="A10" s="2">
        <v>8</v>
      </c>
      <c r="B10" s="207"/>
      <c r="C10" s="157" t="s">
        <v>68</v>
      </c>
      <c r="D10" s="158" t="s">
        <v>69</v>
      </c>
      <c r="E10" s="158" t="s">
        <v>58</v>
      </c>
      <c r="F10" s="158" t="s">
        <v>70</v>
      </c>
      <c r="G10" s="8" t="s">
        <v>71</v>
      </c>
      <c r="H10" s="158" t="s">
        <v>28</v>
      </c>
      <c r="I10" s="158" t="s">
        <v>72</v>
      </c>
      <c r="J10" s="8">
        <v>1</v>
      </c>
      <c r="K10" s="8">
        <f t="shared" si="0"/>
        <v>5</v>
      </c>
      <c r="L10" s="8">
        <f t="shared" si="1"/>
        <v>50</v>
      </c>
      <c r="M10" s="8">
        <f t="shared" si="2"/>
        <v>100</v>
      </c>
      <c r="N10" s="162" t="s">
        <v>30</v>
      </c>
      <c r="O10" s="30">
        <v>0.11</v>
      </c>
      <c r="P10" s="30">
        <f t="shared" si="3"/>
        <v>0.55000000000000004</v>
      </c>
      <c r="Q10" s="61"/>
    </row>
    <row r="11" spans="1:17">
      <c r="A11" s="2">
        <v>9</v>
      </c>
      <c r="B11" s="207"/>
      <c r="C11" s="157" t="s">
        <v>73</v>
      </c>
      <c r="D11" s="158" t="s">
        <v>74</v>
      </c>
      <c r="E11" s="158" t="s">
        <v>75</v>
      </c>
      <c r="F11" s="158" t="s">
        <v>76</v>
      </c>
      <c r="G11" s="8" t="s">
        <v>77</v>
      </c>
      <c r="H11" s="158" t="s">
        <v>28</v>
      </c>
      <c r="I11" s="158" t="s">
        <v>78</v>
      </c>
      <c r="J11" s="8">
        <v>1</v>
      </c>
      <c r="K11" s="8">
        <f t="shared" si="0"/>
        <v>5</v>
      </c>
      <c r="L11" s="8">
        <f t="shared" si="1"/>
        <v>50</v>
      </c>
      <c r="M11" s="8">
        <f t="shared" si="2"/>
        <v>100</v>
      </c>
      <c r="N11" s="28" t="s">
        <v>79</v>
      </c>
      <c r="O11" s="30">
        <v>0.44</v>
      </c>
      <c r="P11" s="30">
        <f t="shared" si="3"/>
        <v>2.2000000000000002</v>
      </c>
      <c r="Q11" s="62"/>
    </row>
    <row r="12" spans="1:17">
      <c r="A12" s="2">
        <v>10</v>
      </c>
      <c r="B12" s="207"/>
      <c r="C12" s="157" t="s">
        <v>80</v>
      </c>
      <c r="D12" s="158" t="s">
        <v>81</v>
      </c>
      <c r="E12" s="158" t="s">
        <v>25</v>
      </c>
      <c r="F12" s="158" t="s">
        <v>82</v>
      </c>
      <c r="G12" s="8" t="s">
        <v>83</v>
      </c>
      <c r="H12" s="158" t="s">
        <v>28</v>
      </c>
      <c r="I12" s="158" t="s">
        <v>84</v>
      </c>
      <c r="J12" s="8">
        <v>1</v>
      </c>
      <c r="K12" s="8">
        <f t="shared" si="0"/>
        <v>5</v>
      </c>
      <c r="L12" s="8">
        <f t="shared" si="1"/>
        <v>50</v>
      </c>
      <c r="M12" s="8">
        <f t="shared" si="2"/>
        <v>100</v>
      </c>
      <c r="N12" s="28" t="s">
        <v>85</v>
      </c>
      <c r="O12" s="32">
        <v>0.6411</v>
      </c>
      <c r="P12" s="30">
        <f t="shared" si="3"/>
        <v>3.2054999999999998</v>
      </c>
      <c r="Q12" s="62"/>
    </row>
    <row r="13" spans="1:17">
      <c r="A13" s="2">
        <v>11</v>
      </c>
      <c r="B13" s="207"/>
      <c r="C13" s="157" t="s">
        <v>86</v>
      </c>
      <c r="D13" s="158" t="s">
        <v>87</v>
      </c>
      <c r="E13" s="158" t="s">
        <v>58</v>
      </c>
      <c r="F13" s="158" t="s">
        <v>88</v>
      </c>
      <c r="G13" s="8" t="s">
        <v>89</v>
      </c>
      <c r="H13" s="158" t="s">
        <v>28</v>
      </c>
      <c r="I13" s="158" t="s">
        <v>90</v>
      </c>
      <c r="J13" s="8">
        <v>1</v>
      </c>
      <c r="K13" s="8">
        <f t="shared" si="0"/>
        <v>5</v>
      </c>
      <c r="L13" s="8">
        <f t="shared" si="1"/>
        <v>50</v>
      </c>
      <c r="M13" s="8">
        <f t="shared" si="2"/>
        <v>100</v>
      </c>
      <c r="N13" s="28" t="s">
        <v>30</v>
      </c>
      <c r="O13" s="30">
        <v>0.25900000000000001</v>
      </c>
      <c r="P13" s="30">
        <f t="shared" si="3"/>
        <v>1.2949999999999999</v>
      </c>
      <c r="Q13" s="62"/>
    </row>
    <row r="14" spans="1:17">
      <c r="A14" s="2">
        <v>12</v>
      </c>
      <c r="B14" s="207"/>
      <c r="C14" s="157" t="s">
        <v>91</v>
      </c>
      <c r="D14" s="8" t="s">
        <v>92</v>
      </c>
      <c r="E14" s="158" t="s">
        <v>40</v>
      </c>
      <c r="F14" s="158" t="s">
        <v>93</v>
      </c>
      <c r="G14" s="8" t="s">
        <v>94</v>
      </c>
      <c r="H14" s="158" t="s">
        <v>28</v>
      </c>
      <c r="I14" s="158" t="s">
        <v>95</v>
      </c>
      <c r="J14" s="8">
        <v>1</v>
      </c>
      <c r="K14" s="11">
        <f t="shared" si="0"/>
        <v>5</v>
      </c>
      <c r="L14" s="8">
        <f t="shared" si="1"/>
        <v>50</v>
      </c>
      <c r="M14" s="8">
        <f t="shared" si="2"/>
        <v>100</v>
      </c>
      <c r="N14" s="33" t="s">
        <v>30</v>
      </c>
      <c r="O14" s="30">
        <v>0.156</v>
      </c>
      <c r="P14" s="30">
        <f t="shared" si="3"/>
        <v>0.78</v>
      </c>
      <c r="Q14" s="62"/>
    </row>
    <row r="15" spans="1:17">
      <c r="A15" s="2">
        <v>13</v>
      </c>
      <c r="B15" s="207"/>
      <c r="C15" s="157" t="s">
        <v>96</v>
      </c>
      <c r="D15" s="158" t="s">
        <v>97</v>
      </c>
      <c r="E15" s="158" t="s">
        <v>40</v>
      </c>
      <c r="F15" s="158" t="s">
        <v>98</v>
      </c>
      <c r="G15" s="8" t="s">
        <v>99</v>
      </c>
      <c r="H15" s="158" t="s">
        <v>28</v>
      </c>
      <c r="I15" s="158" t="s">
        <v>100</v>
      </c>
      <c r="J15" s="34">
        <v>1</v>
      </c>
      <c r="K15" s="8">
        <f t="shared" si="0"/>
        <v>5</v>
      </c>
      <c r="L15" s="35">
        <f t="shared" si="1"/>
        <v>50</v>
      </c>
      <c r="M15" s="8">
        <f t="shared" si="2"/>
        <v>100</v>
      </c>
      <c r="N15" s="28" t="s">
        <v>30</v>
      </c>
      <c r="O15" s="36">
        <v>0.52</v>
      </c>
      <c r="P15" s="36">
        <f t="shared" si="3"/>
        <v>2.6</v>
      </c>
      <c r="Q15" s="62"/>
    </row>
    <row r="16" spans="1:17">
      <c r="A16" s="2">
        <v>14</v>
      </c>
      <c r="B16" s="207"/>
      <c r="C16" s="164" t="s">
        <v>101</v>
      </c>
      <c r="D16" s="165" t="s">
        <v>102</v>
      </c>
      <c r="E16" s="165" t="s">
        <v>40</v>
      </c>
      <c r="F16" s="165" t="s">
        <v>103</v>
      </c>
      <c r="G16" s="11" t="s">
        <v>104</v>
      </c>
      <c r="H16" s="165" t="s">
        <v>105</v>
      </c>
      <c r="I16" s="165" t="s">
        <v>106</v>
      </c>
      <c r="J16" s="11">
        <v>1</v>
      </c>
      <c r="K16" s="16">
        <f t="shared" si="0"/>
        <v>5</v>
      </c>
      <c r="L16" s="11">
        <f t="shared" si="1"/>
        <v>50</v>
      </c>
      <c r="M16" s="11">
        <f t="shared" si="2"/>
        <v>100</v>
      </c>
      <c r="N16" s="37" t="s">
        <v>30</v>
      </c>
      <c r="O16" s="38">
        <v>0.1</v>
      </c>
      <c r="P16" s="36">
        <f t="shared" si="3"/>
        <v>0.5</v>
      </c>
      <c r="Q16" s="63"/>
    </row>
    <row r="17" spans="1:17">
      <c r="A17" s="2">
        <v>15</v>
      </c>
      <c r="B17" s="206" t="s">
        <v>107</v>
      </c>
      <c r="C17" s="12" t="s">
        <v>108</v>
      </c>
      <c r="D17" s="13" t="s">
        <v>109</v>
      </c>
      <c r="E17" s="166" t="s">
        <v>110</v>
      </c>
      <c r="F17" s="14" t="s">
        <v>111</v>
      </c>
      <c r="G17" s="14" t="s">
        <v>112</v>
      </c>
      <c r="H17" s="155" t="s">
        <v>105</v>
      </c>
      <c r="I17" s="166" t="s">
        <v>28</v>
      </c>
      <c r="J17" s="14">
        <v>1</v>
      </c>
      <c r="K17" s="14">
        <f t="shared" si="0"/>
        <v>5</v>
      </c>
      <c r="L17" s="14">
        <f t="shared" si="1"/>
        <v>50</v>
      </c>
      <c r="M17" s="14">
        <f t="shared" si="2"/>
        <v>100</v>
      </c>
      <c r="N17" s="39" t="s">
        <v>113</v>
      </c>
      <c r="O17" s="40">
        <v>0.5</v>
      </c>
      <c r="P17" s="41">
        <f t="shared" si="3"/>
        <v>2.5</v>
      </c>
      <c r="Q17" s="64"/>
    </row>
    <row r="18" spans="1:17">
      <c r="A18" s="2">
        <v>16</v>
      </c>
      <c r="B18" s="216"/>
      <c r="C18" s="167" t="s">
        <v>114</v>
      </c>
      <c r="D18" s="168" t="s">
        <v>115</v>
      </c>
      <c r="E18" s="168" t="s">
        <v>116</v>
      </c>
      <c r="F18" s="168" t="s">
        <v>117</v>
      </c>
      <c r="G18" s="15" t="s">
        <v>118</v>
      </c>
      <c r="H18" s="168" t="s">
        <v>119</v>
      </c>
      <c r="I18" s="168" t="s">
        <v>120</v>
      </c>
      <c r="J18" s="15">
        <v>2</v>
      </c>
      <c r="K18" s="15">
        <f t="shared" si="0"/>
        <v>10</v>
      </c>
      <c r="L18" s="15">
        <f t="shared" si="1"/>
        <v>100</v>
      </c>
      <c r="M18" s="15">
        <f t="shared" si="2"/>
        <v>200</v>
      </c>
      <c r="N18" s="42" t="s">
        <v>79</v>
      </c>
      <c r="O18" s="43">
        <v>0.32200000000000001</v>
      </c>
      <c r="P18" s="43">
        <f t="shared" si="3"/>
        <v>3.22</v>
      </c>
      <c r="Q18" s="65"/>
    </row>
    <row r="19" spans="1:17" ht="15.75">
      <c r="A19" s="2">
        <v>17</v>
      </c>
      <c r="B19" s="7" t="s">
        <v>121</v>
      </c>
      <c r="C19" s="169" t="s">
        <v>122</v>
      </c>
      <c r="D19" s="170" t="s">
        <v>123</v>
      </c>
      <c r="E19" s="170" t="s">
        <v>124</v>
      </c>
      <c r="F19" s="171" t="s">
        <v>125</v>
      </c>
      <c r="G19" s="16" t="s">
        <v>126</v>
      </c>
      <c r="H19" s="170" t="s">
        <v>127</v>
      </c>
      <c r="I19" s="170" t="s">
        <v>120</v>
      </c>
      <c r="J19" s="16">
        <v>2</v>
      </c>
      <c r="K19" s="16">
        <f t="shared" si="0"/>
        <v>10</v>
      </c>
      <c r="L19" s="16">
        <f t="shared" si="1"/>
        <v>100</v>
      </c>
      <c r="M19" s="16">
        <f t="shared" si="2"/>
        <v>200</v>
      </c>
      <c r="N19" s="44" t="s">
        <v>30</v>
      </c>
      <c r="O19" s="45">
        <v>0.32200000000000001</v>
      </c>
      <c r="P19" s="45">
        <f t="shared" si="3"/>
        <v>3.22</v>
      </c>
      <c r="Q19" s="66"/>
    </row>
    <row r="20" spans="1:17">
      <c r="A20" s="2">
        <v>18</v>
      </c>
      <c r="B20" s="206" t="s">
        <v>128</v>
      </c>
      <c r="C20" s="154" t="s">
        <v>129</v>
      </c>
      <c r="D20" s="155" t="s">
        <v>130</v>
      </c>
      <c r="E20" s="155" t="s">
        <v>131</v>
      </c>
      <c r="F20" s="155" t="s">
        <v>132</v>
      </c>
      <c r="G20" s="5" t="s">
        <v>133</v>
      </c>
      <c r="H20" s="155" t="s">
        <v>28</v>
      </c>
      <c r="I20" s="155" t="s">
        <v>120</v>
      </c>
      <c r="J20" s="5">
        <v>1</v>
      </c>
      <c r="K20" s="5">
        <f t="shared" si="0"/>
        <v>5</v>
      </c>
      <c r="L20" s="5">
        <f t="shared" si="1"/>
        <v>50</v>
      </c>
      <c r="M20" s="5">
        <f t="shared" si="2"/>
        <v>100</v>
      </c>
      <c r="N20" s="25" t="s">
        <v>30</v>
      </c>
      <c r="O20" s="41">
        <v>0.52</v>
      </c>
      <c r="P20" s="41">
        <f t="shared" si="3"/>
        <v>2.6</v>
      </c>
      <c r="Q20" s="67" t="s">
        <v>134</v>
      </c>
    </row>
    <row r="21" spans="1:17">
      <c r="A21" s="2">
        <v>19</v>
      </c>
      <c r="B21" s="207"/>
      <c r="C21" s="157" t="s">
        <v>135</v>
      </c>
      <c r="D21" s="158" t="s">
        <v>136</v>
      </c>
      <c r="E21" s="158" t="s">
        <v>131</v>
      </c>
      <c r="F21" s="158" t="s">
        <v>137</v>
      </c>
      <c r="G21" s="8" t="s">
        <v>118</v>
      </c>
      <c r="H21" s="158" t="s">
        <v>28</v>
      </c>
      <c r="I21" s="172" t="s">
        <v>120</v>
      </c>
      <c r="J21" s="8">
        <v>1</v>
      </c>
      <c r="K21" s="8">
        <f t="shared" si="0"/>
        <v>5</v>
      </c>
      <c r="L21" s="8">
        <f t="shared" si="1"/>
        <v>50</v>
      </c>
      <c r="M21" s="8">
        <f t="shared" si="2"/>
        <v>100</v>
      </c>
      <c r="N21" s="28" t="s">
        <v>30</v>
      </c>
      <c r="O21" s="30">
        <v>0.47</v>
      </c>
      <c r="P21" s="30">
        <f t="shared" si="3"/>
        <v>2.3499999999999996</v>
      </c>
      <c r="Q21" s="68" t="s">
        <v>134</v>
      </c>
    </row>
    <row r="22" spans="1:17">
      <c r="A22" s="2">
        <v>20</v>
      </c>
      <c r="B22" s="207"/>
      <c r="C22" s="157" t="s">
        <v>138</v>
      </c>
      <c r="D22" s="158" t="s">
        <v>139</v>
      </c>
      <c r="E22" s="158" t="s">
        <v>131</v>
      </c>
      <c r="F22" s="158" t="s">
        <v>140</v>
      </c>
      <c r="G22" s="8" t="s">
        <v>141</v>
      </c>
      <c r="H22" s="158" t="s">
        <v>28</v>
      </c>
      <c r="I22" s="172" t="s">
        <v>120</v>
      </c>
      <c r="J22" s="8">
        <v>1</v>
      </c>
      <c r="K22" s="8">
        <f t="shared" si="0"/>
        <v>5</v>
      </c>
      <c r="L22" s="8">
        <f t="shared" si="1"/>
        <v>50</v>
      </c>
      <c r="M22" s="8">
        <f t="shared" si="2"/>
        <v>100</v>
      </c>
      <c r="N22" s="28" t="s">
        <v>30</v>
      </c>
      <c r="O22" s="30">
        <v>0.67</v>
      </c>
      <c r="P22" s="30">
        <f t="shared" si="3"/>
        <v>3.35</v>
      </c>
      <c r="Q22" s="68" t="s">
        <v>134</v>
      </c>
    </row>
    <row r="23" spans="1:17">
      <c r="A23" s="2">
        <v>21</v>
      </c>
      <c r="B23" s="207"/>
      <c r="C23" s="157" t="s">
        <v>142</v>
      </c>
      <c r="D23" s="158" t="s">
        <v>143</v>
      </c>
      <c r="E23" s="158" t="s">
        <v>131</v>
      </c>
      <c r="F23" s="158" t="s">
        <v>144</v>
      </c>
      <c r="G23" s="8" t="s">
        <v>133</v>
      </c>
      <c r="H23" s="158" t="s">
        <v>28</v>
      </c>
      <c r="I23" s="172" t="s">
        <v>120</v>
      </c>
      <c r="J23" s="8">
        <v>1</v>
      </c>
      <c r="K23" s="8">
        <f t="shared" si="0"/>
        <v>5</v>
      </c>
      <c r="L23" s="8">
        <f t="shared" si="1"/>
        <v>50</v>
      </c>
      <c r="M23" s="8">
        <f t="shared" si="2"/>
        <v>100</v>
      </c>
      <c r="N23" s="162" t="s">
        <v>30</v>
      </c>
      <c r="O23" s="30">
        <v>0.55000000000000004</v>
      </c>
      <c r="P23" s="30">
        <f t="shared" si="3"/>
        <v>2.75</v>
      </c>
      <c r="Q23" s="68" t="s">
        <v>134</v>
      </c>
    </row>
    <row r="24" spans="1:17">
      <c r="A24" s="2">
        <v>22</v>
      </c>
      <c r="B24" s="207"/>
      <c r="C24" s="192" t="s">
        <v>145</v>
      </c>
      <c r="D24" s="193" t="s">
        <v>146</v>
      </c>
      <c r="E24" s="193" t="s">
        <v>147</v>
      </c>
      <c r="F24" s="193" t="s">
        <v>148</v>
      </c>
      <c r="G24" s="193" t="s">
        <v>149</v>
      </c>
      <c r="H24" s="17"/>
      <c r="I24" s="46"/>
      <c r="J24" s="8">
        <v>1</v>
      </c>
      <c r="K24" s="8">
        <f t="shared" si="0"/>
        <v>5</v>
      </c>
      <c r="L24" s="8">
        <f t="shared" si="1"/>
        <v>50</v>
      </c>
      <c r="M24" s="8">
        <f t="shared" si="2"/>
        <v>100</v>
      </c>
      <c r="N24" s="47" t="s">
        <v>30</v>
      </c>
      <c r="O24" s="48">
        <v>0.55000000000000004</v>
      </c>
      <c r="P24" s="30">
        <f t="shared" si="3"/>
        <v>2.75</v>
      </c>
      <c r="Q24" s="63"/>
    </row>
    <row r="25" spans="1:17">
      <c r="A25" s="2">
        <v>23</v>
      </c>
      <c r="B25" s="216"/>
      <c r="C25" s="167" t="s">
        <v>150</v>
      </c>
      <c r="D25" s="168" t="s">
        <v>151</v>
      </c>
      <c r="E25" s="168" t="s">
        <v>131</v>
      </c>
      <c r="F25" s="168" t="s">
        <v>152</v>
      </c>
      <c r="G25" s="15" t="s">
        <v>153</v>
      </c>
      <c r="H25" s="168" t="s">
        <v>28</v>
      </c>
      <c r="I25" s="175" t="s">
        <v>120</v>
      </c>
      <c r="J25" s="15">
        <v>1</v>
      </c>
      <c r="K25" s="15">
        <f t="shared" si="0"/>
        <v>5</v>
      </c>
      <c r="L25" s="15">
        <f t="shared" si="1"/>
        <v>50</v>
      </c>
      <c r="M25" s="15">
        <f t="shared" si="2"/>
        <v>100</v>
      </c>
      <c r="N25" s="42" t="s">
        <v>30</v>
      </c>
      <c r="O25" s="43">
        <v>0.64</v>
      </c>
      <c r="P25" s="43">
        <f t="shared" si="3"/>
        <v>3.2</v>
      </c>
      <c r="Q25" s="65"/>
    </row>
    <row r="26" spans="1:17">
      <c r="A26" s="2">
        <v>24</v>
      </c>
      <c r="B26" s="207" t="s">
        <v>154</v>
      </c>
      <c r="C26" s="194" t="s">
        <v>155</v>
      </c>
      <c r="D26" s="172" t="s">
        <v>156</v>
      </c>
      <c r="E26" s="172" t="s">
        <v>25</v>
      </c>
      <c r="F26" s="177" t="s">
        <v>157</v>
      </c>
      <c r="G26" s="18" t="s">
        <v>158</v>
      </c>
      <c r="H26" s="172" t="s">
        <v>159</v>
      </c>
      <c r="I26" s="172" t="s">
        <v>120</v>
      </c>
      <c r="J26" s="18">
        <v>1</v>
      </c>
      <c r="K26" s="18">
        <f t="shared" si="0"/>
        <v>5</v>
      </c>
      <c r="L26" s="18">
        <f t="shared" si="1"/>
        <v>50</v>
      </c>
      <c r="M26" s="18">
        <f t="shared" si="2"/>
        <v>100</v>
      </c>
      <c r="N26" s="49" t="s">
        <v>30</v>
      </c>
      <c r="O26" s="50">
        <v>6.32</v>
      </c>
      <c r="P26" s="50">
        <f t="shared" si="3"/>
        <v>31.6</v>
      </c>
      <c r="Q26" s="59" t="s">
        <v>37</v>
      </c>
    </row>
    <row r="27" spans="1:17">
      <c r="A27" s="2">
        <v>25</v>
      </c>
      <c r="B27" s="207"/>
      <c r="C27" s="164" t="s">
        <v>160</v>
      </c>
      <c r="D27" s="165" t="s">
        <v>161</v>
      </c>
      <c r="E27" s="165" t="s">
        <v>25</v>
      </c>
      <c r="F27" s="165" t="s">
        <v>162</v>
      </c>
      <c r="G27" s="11" t="s">
        <v>163</v>
      </c>
      <c r="H27" s="165" t="s">
        <v>28</v>
      </c>
      <c r="I27" s="170" t="s">
        <v>120</v>
      </c>
      <c r="J27" s="11">
        <v>1</v>
      </c>
      <c r="K27" s="11">
        <f t="shared" si="0"/>
        <v>5</v>
      </c>
      <c r="L27" s="11">
        <f t="shared" si="1"/>
        <v>50</v>
      </c>
      <c r="M27" s="11">
        <f t="shared" si="2"/>
        <v>100</v>
      </c>
      <c r="N27" s="51" t="s">
        <v>30</v>
      </c>
      <c r="O27" s="36">
        <v>1.01</v>
      </c>
      <c r="P27" s="36">
        <f t="shared" si="3"/>
        <v>5.05</v>
      </c>
      <c r="Q27" s="63"/>
    </row>
    <row r="28" spans="1:17" ht="15.75">
      <c r="A28" s="2">
        <v>26</v>
      </c>
      <c r="B28" s="19" t="s">
        <v>164</v>
      </c>
      <c r="C28" s="195" t="s">
        <v>165</v>
      </c>
      <c r="D28" s="179" t="s">
        <v>166</v>
      </c>
      <c r="E28" s="179" t="s">
        <v>25</v>
      </c>
      <c r="F28" s="196" t="s">
        <v>167</v>
      </c>
      <c r="G28" s="20" t="s">
        <v>168</v>
      </c>
      <c r="H28" s="20" t="s">
        <v>169</v>
      </c>
      <c r="I28" s="179" t="s">
        <v>120</v>
      </c>
      <c r="J28" s="20">
        <v>1</v>
      </c>
      <c r="K28" s="20">
        <f t="shared" si="0"/>
        <v>5</v>
      </c>
      <c r="L28" s="20">
        <f t="shared" si="1"/>
        <v>50</v>
      </c>
      <c r="M28" s="20">
        <f t="shared" si="2"/>
        <v>100</v>
      </c>
      <c r="N28" s="52" t="s">
        <v>30</v>
      </c>
      <c r="O28" s="53">
        <v>0.68</v>
      </c>
      <c r="P28" s="53">
        <f t="shared" si="3"/>
        <v>3.4000000000000004</v>
      </c>
      <c r="Q28" s="69" t="s">
        <v>170</v>
      </c>
    </row>
    <row r="29" spans="1:17" ht="15.75">
      <c r="A29" s="2">
        <v>27</v>
      </c>
      <c r="B29" s="7" t="s">
        <v>171</v>
      </c>
      <c r="C29" s="169" t="s">
        <v>172</v>
      </c>
      <c r="D29" s="170" t="s">
        <v>173</v>
      </c>
      <c r="E29" s="170" t="s">
        <v>25</v>
      </c>
      <c r="F29" s="170" t="s">
        <v>174</v>
      </c>
      <c r="G29" s="16" t="s">
        <v>175</v>
      </c>
      <c r="H29" s="172" t="s">
        <v>28</v>
      </c>
      <c r="I29" s="170" t="s">
        <v>120</v>
      </c>
      <c r="J29" s="16">
        <v>2</v>
      </c>
      <c r="K29" s="16">
        <f t="shared" si="0"/>
        <v>10</v>
      </c>
      <c r="L29" s="16">
        <f t="shared" si="1"/>
        <v>100</v>
      </c>
      <c r="M29" s="16">
        <f t="shared" si="2"/>
        <v>200</v>
      </c>
      <c r="N29" s="44" t="s">
        <v>30</v>
      </c>
      <c r="O29" s="45">
        <v>0.65400000000000003</v>
      </c>
      <c r="P29" s="45">
        <f t="shared" si="3"/>
        <v>6.54</v>
      </c>
      <c r="Q29" s="66"/>
    </row>
    <row r="30" spans="1:17">
      <c r="A30" s="2">
        <v>28</v>
      </c>
      <c r="B30" s="206" t="s">
        <v>176</v>
      </c>
      <c r="C30" s="181" t="s">
        <v>177</v>
      </c>
      <c r="D30" s="155" t="s">
        <v>178</v>
      </c>
      <c r="E30" s="155" t="s">
        <v>179</v>
      </c>
      <c r="F30" s="182" t="s">
        <v>180</v>
      </c>
      <c r="G30" s="5" t="s">
        <v>181</v>
      </c>
      <c r="H30" s="5" t="s">
        <v>182</v>
      </c>
      <c r="I30" s="155" t="s">
        <v>183</v>
      </c>
      <c r="J30" s="5">
        <v>1</v>
      </c>
      <c r="K30" s="5">
        <f t="shared" si="0"/>
        <v>5</v>
      </c>
      <c r="L30" s="5">
        <f t="shared" si="1"/>
        <v>50</v>
      </c>
      <c r="M30" s="5">
        <f t="shared" si="2"/>
        <v>100</v>
      </c>
      <c r="N30" s="54" t="s">
        <v>30</v>
      </c>
      <c r="O30" s="41">
        <v>0.1</v>
      </c>
      <c r="P30" s="41">
        <f t="shared" si="3"/>
        <v>0.5</v>
      </c>
      <c r="Q30" s="64"/>
    </row>
    <row r="31" spans="1:17">
      <c r="A31" s="2">
        <v>29</v>
      </c>
      <c r="B31" s="207"/>
      <c r="C31" s="157" t="s">
        <v>184</v>
      </c>
      <c r="D31" s="158" t="s">
        <v>185</v>
      </c>
      <c r="E31" s="158" t="s">
        <v>186</v>
      </c>
      <c r="F31" s="158" t="s">
        <v>187</v>
      </c>
      <c r="G31" s="8" t="s">
        <v>188</v>
      </c>
      <c r="H31" s="158" t="s">
        <v>28</v>
      </c>
      <c r="I31" s="158" t="s">
        <v>189</v>
      </c>
      <c r="J31" s="8">
        <v>1</v>
      </c>
      <c r="K31" s="8">
        <f t="shared" si="0"/>
        <v>5</v>
      </c>
      <c r="L31" s="8">
        <f t="shared" si="1"/>
        <v>50</v>
      </c>
      <c r="M31" s="8">
        <f t="shared" si="2"/>
        <v>100</v>
      </c>
      <c r="N31" s="28" t="s">
        <v>30</v>
      </c>
      <c r="O31" s="30">
        <v>0.1</v>
      </c>
      <c r="P31" s="30">
        <f t="shared" si="3"/>
        <v>0.5</v>
      </c>
      <c r="Q31" s="62"/>
    </row>
    <row r="32" spans="1:17">
      <c r="A32" s="2">
        <v>30</v>
      </c>
      <c r="B32" s="207"/>
      <c r="C32" s="157" t="s">
        <v>190</v>
      </c>
      <c r="D32" s="158" t="s">
        <v>191</v>
      </c>
      <c r="E32" s="158" t="s">
        <v>179</v>
      </c>
      <c r="F32" s="158" t="s">
        <v>192</v>
      </c>
      <c r="G32" s="8" t="s">
        <v>104</v>
      </c>
      <c r="H32" s="158" t="s">
        <v>28</v>
      </c>
      <c r="I32" s="158" t="s">
        <v>193</v>
      </c>
      <c r="J32" s="8">
        <v>6</v>
      </c>
      <c r="K32" s="8">
        <f t="shared" si="0"/>
        <v>30</v>
      </c>
      <c r="L32" s="8">
        <f t="shared" si="1"/>
        <v>300</v>
      </c>
      <c r="M32" s="8">
        <f t="shared" si="2"/>
        <v>600</v>
      </c>
      <c r="N32" s="28" t="s">
        <v>30</v>
      </c>
      <c r="O32" s="30">
        <v>1.2999999999999999E-2</v>
      </c>
      <c r="P32" s="30">
        <f t="shared" si="3"/>
        <v>0.38999999999999996</v>
      </c>
      <c r="Q32" s="62"/>
    </row>
    <row r="33" spans="1:17">
      <c r="A33" s="2">
        <v>31</v>
      </c>
      <c r="B33" s="207"/>
      <c r="C33" s="157" t="s">
        <v>194</v>
      </c>
      <c r="D33" s="158" t="s">
        <v>195</v>
      </c>
      <c r="E33" s="158" t="s">
        <v>179</v>
      </c>
      <c r="F33" s="158" t="s">
        <v>196</v>
      </c>
      <c r="G33" s="8" t="s">
        <v>104</v>
      </c>
      <c r="H33" s="158" t="s">
        <v>28</v>
      </c>
      <c r="I33" s="158" t="s">
        <v>197</v>
      </c>
      <c r="J33" s="8">
        <v>1</v>
      </c>
      <c r="K33" s="8">
        <f t="shared" si="0"/>
        <v>5</v>
      </c>
      <c r="L33" s="8">
        <f t="shared" si="1"/>
        <v>50</v>
      </c>
      <c r="M33" s="8">
        <f t="shared" si="2"/>
        <v>100</v>
      </c>
      <c r="N33" s="28" t="s">
        <v>30</v>
      </c>
      <c r="O33" s="30">
        <v>0.1</v>
      </c>
      <c r="P33" s="30">
        <f t="shared" si="3"/>
        <v>0.5</v>
      </c>
      <c r="Q33" s="62"/>
    </row>
    <row r="34" spans="1:17">
      <c r="A34" s="2">
        <v>32</v>
      </c>
      <c r="B34" s="207"/>
      <c r="C34" s="157" t="s">
        <v>198</v>
      </c>
      <c r="D34" s="158" t="s">
        <v>199</v>
      </c>
      <c r="E34" s="158" t="s">
        <v>179</v>
      </c>
      <c r="F34" s="158" t="s">
        <v>200</v>
      </c>
      <c r="G34" s="8" t="s">
        <v>104</v>
      </c>
      <c r="H34" s="158" t="s">
        <v>28</v>
      </c>
      <c r="I34" s="158" t="s">
        <v>201</v>
      </c>
      <c r="J34" s="8">
        <v>1</v>
      </c>
      <c r="K34" s="8">
        <f t="shared" si="0"/>
        <v>5</v>
      </c>
      <c r="L34" s="8">
        <f t="shared" si="1"/>
        <v>50</v>
      </c>
      <c r="M34" s="8">
        <f t="shared" si="2"/>
        <v>100</v>
      </c>
      <c r="N34" s="28" t="s">
        <v>30</v>
      </c>
      <c r="O34" s="30">
        <v>0.1</v>
      </c>
      <c r="P34" s="30">
        <f t="shared" si="3"/>
        <v>0.5</v>
      </c>
      <c r="Q34" s="62"/>
    </row>
    <row r="35" spans="1:17">
      <c r="A35" s="2">
        <v>33</v>
      </c>
      <c r="B35" s="207"/>
      <c r="C35" s="157" t="s">
        <v>202</v>
      </c>
      <c r="D35" s="193" t="s">
        <v>203</v>
      </c>
      <c r="E35" s="158" t="s">
        <v>179</v>
      </c>
      <c r="F35" s="159" t="s">
        <v>204</v>
      </c>
      <c r="G35" s="8" t="s">
        <v>205</v>
      </c>
      <c r="H35" s="21" t="s">
        <v>206</v>
      </c>
      <c r="I35" s="158" t="s">
        <v>207</v>
      </c>
      <c r="J35" s="8">
        <v>9</v>
      </c>
      <c r="K35" s="8">
        <f t="shared" si="0"/>
        <v>45</v>
      </c>
      <c r="L35" s="8">
        <f t="shared" si="1"/>
        <v>450</v>
      </c>
      <c r="M35" s="8">
        <f t="shared" si="2"/>
        <v>900</v>
      </c>
      <c r="N35" s="28" t="s">
        <v>30</v>
      </c>
      <c r="O35" s="30">
        <v>0.223</v>
      </c>
      <c r="P35" s="30">
        <f t="shared" si="3"/>
        <v>10.035</v>
      </c>
      <c r="Q35" s="62"/>
    </row>
    <row r="36" spans="1:17">
      <c r="A36" s="2">
        <v>34</v>
      </c>
      <c r="B36" s="207"/>
      <c r="C36" s="157" t="s">
        <v>208</v>
      </c>
      <c r="D36" s="158" t="s">
        <v>209</v>
      </c>
      <c r="E36" s="158" t="s">
        <v>179</v>
      </c>
      <c r="F36" s="158" t="s">
        <v>210</v>
      </c>
      <c r="G36" s="8" t="s">
        <v>104</v>
      </c>
      <c r="H36" s="158" t="s">
        <v>28</v>
      </c>
      <c r="I36" s="158" t="s">
        <v>211</v>
      </c>
      <c r="J36" s="8">
        <v>1</v>
      </c>
      <c r="K36" s="8">
        <f t="shared" si="0"/>
        <v>5</v>
      </c>
      <c r="L36" s="8">
        <f t="shared" si="1"/>
        <v>50</v>
      </c>
      <c r="M36" s="8">
        <f t="shared" si="2"/>
        <v>100</v>
      </c>
      <c r="N36" s="28" t="s">
        <v>79</v>
      </c>
      <c r="O36" s="30">
        <v>0.10100000000000001</v>
      </c>
      <c r="P36" s="30">
        <f t="shared" si="3"/>
        <v>0.505</v>
      </c>
      <c r="Q36" s="62"/>
    </row>
    <row r="37" spans="1:17">
      <c r="A37" s="2">
        <v>35</v>
      </c>
      <c r="B37" s="207"/>
      <c r="C37" s="157" t="s">
        <v>212</v>
      </c>
      <c r="D37" s="158" t="s">
        <v>213</v>
      </c>
      <c r="E37" s="158" t="s">
        <v>179</v>
      </c>
      <c r="F37" s="159" t="s">
        <v>214</v>
      </c>
      <c r="G37" s="8" t="s">
        <v>205</v>
      </c>
      <c r="H37" s="8" t="s">
        <v>215</v>
      </c>
      <c r="I37" s="158" t="s">
        <v>216</v>
      </c>
      <c r="J37" s="8">
        <v>1</v>
      </c>
      <c r="K37" s="8">
        <f t="shared" si="0"/>
        <v>5</v>
      </c>
      <c r="L37" s="8">
        <f t="shared" si="1"/>
        <v>50</v>
      </c>
      <c r="M37" s="8">
        <f t="shared" si="2"/>
        <v>100</v>
      </c>
      <c r="N37" s="28" t="s">
        <v>30</v>
      </c>
      <c r="O37" s="30">
        <v>0.1</v>
      </c>
      <c r="P37" s="30">
        <f t="shared" si="3"/>
        <v>0.5</v>
      </c>
      <c r="Q37" s="62"/>
    </row>
    <row r="38" spans="1:17">
      <c r="A38" s="2">
        <v>36</v>
      </c>
      <c r="B38" s="207"/>
      <c r="C38" s="157" t="s">
        <v>217</v>
      </c>
      <c r="D38" s="158" t="s">
        <v>218</v>
      </c>
      <c r="E38" s="158" t="s">
        <v>179</v>
      </c>
      <c r="F38" s="159" t="s">
        <v>219</v>
      </c>
      <c r="G38" s="8" t="s">
        <v>104</v>
      </c>
      <c r="H38" s="8" t="s">
        <v>220</v>
      </c>
      <c r="I38" s="158" t="s">
        <v>221</v>
      </c>
      <c r="J38" s="8">
        <v>4</v>
      </c>
      <c r="K38" s="8">
        <f t="shared" si="0"/>
        <v>20</v>
      </c>
      <c r="L38" s="8">
        <f t="shared" si="1"/>
        <v>200</v>
      </c>
      <c r="M38" s="8">
        <f t="shared" si="2"/>
        <v>400</v>
      </c>
      <c r="N38" s="28" t="s">
        <v>30</v>
      </c>
      <c r="O38" s="30">
        <v>1.2E-2</v>
      </c>
      <c r="P38" s="30">
        <f t="shared" si="3"/>
        <v>0.24</v>
      </c>
      <c r="Q38" s="62"/>
    </row>
    <row r="39" spans="1:17">
      <c r="A39" s="2">
        <v>37</v>
      </c>
      <c r="B39" s="207"/>
      <c r="C39" s="157" t="s">
        <v>222</v>
      </c>
      <c r="D39" s="158" t="s">
        <v>223</v>
      </c>
      <c r="E39" s="158" t="s">
        <v>179</v>
      </c>
      <c r="F39" s="158" t="s">
        <v>224</v>
      </c>
      <c r="G39" s="8" t="s">
        <v>104</v>
      </c>
      <c r="H39" s="158" t="s">
        <v>28</v>
      </c>
      <c r="I39" s="158" t="s">
        <v>225</v>
      </c>
      <c r="J39" s="8">
        <v>3</v>
      </c>
      <c r="K39" s="8">
        <f t="shared" si="0"/>
        <v>15</v>
      </c>
      <c r="L39" s="8">
        <f t="shared" si="1"/>
        <v>150</v>
      </c>
      <c r="M39" s="8">
        <f t="shared" si="2"/>
        <v>300</v>
      </c>
      <c r="N39" s="28" t="s">
        <v>30</v>
      </c>
      <c r="O39" s="30">
        <v>1.6E-2</v>
      </c>
      <c r="P39" s="30">
        <f t="shared" si="3"/>
        <v>0.24</v>
      </c>
      <c r="Q39" s="62"/>
    </row>
    <row r="40" spans="1:17">
      <c r="A40" s="2">
        <v>38</v>
      </c>
      <c r="B40" s="207"/>
      <c r="C40" s="157" t="s">
        <v>226</v>
      </c>
      <c r="D40" s="158" t="s">
        <v>227</v>
      </c>
      <c r="E40" s="158" t="s">
        <v>179</v>
      </c>
      <c r="F40" s="159" t="s">
        <v>228</v>
      </c>
      <c r="G40" s="8" t="s">
        <v>27</v>
      </c>
      <c r="H40" s="8" t="s">
        <v>229</v>
      </c>
      <c r="I40" s="158" t="s">
        <v>230</v>
      </c>
      <c r="J40" s="8">
        <v>2</v>
      </c>
      <c r="K40" s="8">
        <f t="shared" si="0"/>
        <v>10</v>
      </c>
      <c r="L40" s="8">
        <f t="shared" si="1"/>
        <v>100</v>
      </c>
      <c r="M40" s="8">
        <f t="shared" si="2"/>
        <v>200</v>
      </c>
      <c r="N40" s="28" t="s">
        <v>30</v>
      </c>
      <c r="O40" s="30">
        <v>1.2999999999999999E-2</v>
      </c>
      <c r="P40" s="30">
        <f t="shared" si="3"/>
        <v>0.13</v>
      </c>
      <c r="Q40" s="62"/>
    </row>
    <row r="41" spans="1:17">
      <c r="A41" s="2">
        <v>39</v>
      </c>
      <c r="B41" s="207"/>
      <c r="C41" s="192" t="s">
        <v>231</v>
      </c>
      <c r="D41" s="193" t="s">
        <v>232</v>
      </c>
      <c r="E41" s="193" t="s">
        <v>179</v>
      </c>
      <c r="F41" s="197" t="s">
        <v>233</v>
      </c>
      <c r="G41" s="193" t="s">
        <v>27</v>
      </c>
      <c r="H41" s="8" t="s">
        <v>234</v>
      </c>
      <c r="I41" s="8" t="s">
        <v>235</v>
      </c>
      <c r="J41" s="8">
        <v>4</v>
      </c>
      <c r="K41" s="8">
        <f t="shared" si="0"/>
        <v>20</v>
      </c>
      <c r="L41" s="8">
        <f t="shared" si="1"/>
        <v>200</v>
      </c>
      <c r="M41" s="8">
        <f t="shared" si="2"/>
        <v>400</v>
      </c>
      <c r="N41" s="55" t="s">
        <v>30</v>
      </c>
      <c r="O41" s="48">
        <v>1.2999999999999999E-2</v>
      </c>
      <c r="P41" s="30">
        <f t="shared" si="3"/>
        <v>0.26</v>
      </c>
      <c r="Q41" s="70" t="s">
        <v>236</v>
      </c>
    </row>
    <row r="42" spans="1:17">
      <c r="A42" s="2">
        <v>40</v>
      </c>
      <c r="B42" s="207"/>
      <c r="C42" s="192" t="s">
        <v>237</v>
      </c>
      <c r="D42" s="193" t="s">
        <v>238</v>
      </c>
      <c r="E42" s="193" t="s">
        <v>239</v>
      </c>
      <c r="F42" s="193" t="s">
        <v>240</v>
      </c>
      <c r="G42" s="193" t="s">
        <v>104</v>
      </c>
      <c r="H42" s="8"/>
      <c r="I42" s="8" t="s">
        <v>241</v>
      </c>
      <c r="J42" s="8">
        <v>1</v>
      </c>
      <c r="K42" s="8">
        <f t="shared" si="0"/>
        <v>5</v>
      </c>
      <c r="L42" s="8">
        <f t="shared" si="1"/>
        <v>50</v>
      </c>
      <c r="M42" s="8">
        <f t="shared" si="2"/>
        <v>100</v>
      </c>
      <c r="N42" s="55" t="s">
        <v>30</v>
      </c>
      <c r="O42" s="48">
        <v>0.1</v>
      </c>
      <c r="P42" s="30">
        <f t="shared" si="3"/>
        <v>0.5</v>
      </c>
      <c r="Q42" s="62"/>
    </row>
    <row r="43" spans="1:17">
      <c r="A43" s="2">
        <v>41</v>
      </c>
      <c r="B43" s="207"/>
      <c r="C43" s="157" t="s">
        <v>242</v>
      </c>
      <c r="D43" s="158" t="s">
        <v>243</v>
      </c>
      <c r="E43" s="158" t="s">
        <v>244</v>
      </c>
      <c r="F43" s="159" t="s">
        <v>245</v>
      </c>
      <c r="G43" s="8" t="s">
        <v>246</v>
      </c>
      <c r="H43" s="8" t="s">
        <v>247</v>
      </c>
      <c r="I43" s="158" t="s">
        <v>248</v>
      </c>
      <c r="J43" s="8">
        <v>1</v>
      </c>
      <c r="K43" s="8">
        <f t="shared" si="0"/>
        <v>5</v>
      </c>
      <c r="L43" s="8">
        <f t="shared" si="1"/>
        <v>50</v>
      </c>
      <c r="M43" s="8">
        <f t="shared" si="2"/>
        <v>100</v>
      </c>
      <c r="N43" s="28" t="s">
        <v>30</v>
      </c>
      <c r="O43" s="30">
        <v>0.3</v>
      </c>
      <c r="P43" s="30">
        <f t="shared" si="3"/>
        <v>1.5</v>
      </c>
      <c r="Q43" s="62"/>
    </row>
    <row r="44" spans="1:17">
      <c r="A44" s="2">
        <v>42</v>
      </c>
      <c r="B44" s="207"/>
      <c r="C44" s="157" t="s">
        <v>249</v>
      </c>
      <c r="D44" s="158" t="s">
        <v>250</v>
      </c>
      <c r="E44" s="158" t="s">
        <v>179</v>
      </c>
      <c r="F44" s="159" t="s">
        <v>251</v>
      </c>
      <c r="G44" s="8" t="s">
        <v>104</v>
      </c>
      <c r="H44" s="8" t="s">
        <v>252</v>
      </c>
      <c r="I44" s="158" t="s">
        <v>253</v>
      </c>
      <c r="J44" s="8">
        <v>2</v>
      </c>
      <c r="K44" s="8">
        <f t="shared" si="0"/>
        <v>10</v>
      </c>
      <c r="L44" s="8">
        <f t="shared" si="1"/>
        <v>100</v>
      </c>
      <c r="M44" s="8">
        <f t="shared" si="2"/>
        <v>200</v>
      </c>
      <c r="N44" s="28" t="s">
        <v>30</v>
      </c>
      <c r="O44" s="30">
        <v>1.2E-2</v>
      </c>
      <c r="P44" s="30">
        <f t="shared" si="3"/>
        <v>0.12</v>
      </c>
      <c r="Q44" s="62"/>
    </row>
    <row r="45" spans="1:17">
      <c r="A45" s="2">
        <v>43</v>
      </c>
      <c r="B45" s="207"/>
      <c r="C45" s="157" t="s">
        <v>254</v>
      </c>
      <c r="D45" s="158" t="s">
        <v>255</v>
      </c>
      <c r="E45" s="158" t="s">
        <v>179</v>
      </c>
      <c r="F45" s="158" t="s">
        <v>256</v>
      </c>
      <c r="G45" s="8" t="s">
        <v>104</v>
      </c>
      <c r="H45" s="158" t="s">
        <v>28</v>
      </c>
      <c r="I45" s="158" t="s">
        <v>257</v>
      </c>
      <c r="J45" s="8">
        <v>1</v>
      </c>
      <c r="K45" s="8">
        <f t="shared" si="0"/>
        <v>5</v>
      </c>
      <c r="L45" s="8">
        <f t="shared" si="1"/>
        <v>50</v>
      </c>
      <c r="M45" s="8">
        <f t="shared" si="2"/>
        <v>100</v>
      </c>
      <c r="N45" s="28" t="s">
        <v>30</v>
      </c>
      <c r="O45" s="30">
        <v>0.1</v>
      </c>
      <c r="P45" s="30">
        <f t="shared" si="3"/>
        <v>0.5</v>
      </c>
      <c r="Q45" s="62"/>
    </row>
    <row r="46" spans="1:17">
      <c r="A46" s="2">
        <v>44</v>
      </c>
      <c r="B46" s="207"/>
      <c r="C46" s="157" t="s">
        <v>258</v>
      </c>
      <c r="D46" s="158" t="s">
        <v>259</v>
      </c>
      <c r="E46" s="158" t="s">
        <v>179</v>
      </c>
      <c r="F46" s="158" t="s">
        <v>260</v>
      </c>
      <c r="G46" s="8" t="s">
        <v>104</v>
      </c>
      <c r="H46" s="158" t="s">
        <v>28</v>
      </c>
      <c r="I46" s="158" t="s">
        <v>261</v>
      </c>
      <c r="J46" s="8">
        <v>1</v>
      </c>
      <c r="K46" s="8">
        <f t="shared" si="0"/>
        <v>5</v>
      </c>
      <c r="L46" s="8">
        <f t="shared" si="1"/>
        <v>50</v>
      </c>
      <c r="M46" s="8">
        <f t="shared" si="2"/>
        <v>100</v>
      </c>
      <c r="N46" s="28" t="s">
        <v>30</v>
      </c>
      <c r="O46" s="30">
        <v>0.1</v>
      </c>
      <c r="P46" s="30">
        <f t="shared" si="3"/>
        <v>0.5</v>
      </c>
      <c r="Q46" s="62"/>
    </row>
    <row r="47" spans="1:17">
      <c r="A47" s="2">
        <v>45</v>
      </c>
      <c r="B47" s="207"/>
      <c r="C47" s="192" t="s">
        <v>262</v>
      </c>
      <c r="D47" s="193" t="s">
        <v>263</v>
      </c>
      <c r="E47" s="193" t="s">
        <v>239</v>
      </c>
      <c r="F47" s="197" t="s">
        <v>264</v>
      </c>
      <c r="G47" s="193" t="s">
        <v>104</v>
      </c>
      <c r="H47" s="17" t="s">
        <v>265</v>
      </c>
      <c r="I47" s="56" t="s">
        <v>266</v>
      </c>
      <c r="J47" s="8">
        <v>1</v>
      </c>
      <c r="K47" s="8">
        <f t="shared" si="0"/>
        <v>5</v>
      </c>
      <c r="L47" s="8">
        <f t="shared" si="1"/>
        <v>50</v>
      </c>
      <c r="M47" s="8">
        <f t="shared" si="2"/>
        <v>100</v>
      </c>
      <c r="N47" s="55" t="s">
        <v>30</v>
      </c>
      <c r="O47" s="48">
        <v>0.1</v>
      </c>
      <c r="P47" s="30">
        <f t="shared" si="3"/>
        <v>0.5</v>
      </c>
      <c r="Q47" s="62"/>
    </row>
    <row r="48" spans="1:17">
      <c r="A48" s="2">
        <v>46</v>
      </c>
      <c r="B48" s="206" t="s">
        <v>267</v>
      </c>
      <c r="C48" s="154" t="s">
        <v>268</v>
      </c>
      <c r="D48" s="155" t="s">
        <v>269</v>
      </c>
      <c r="E48" s="155" t="s">
        <v>270</v>
      </c>
      <c r="F48" s="155" t="s">
        <v>271</v>
      </c>
      <c r="G48" s="5" t="s">
        <v>272</v>
      </c>
      <c r="H48" s="155" t="s">
        <v>28</v>
      </c>
      <c r="I48" s="155" t="s">
        <v>120</v>
      </c>
      <c r="J48" s="5">
        <v>1</v>
      </c>
      <c r="K48" s="5">
        <f t="shared" si="0"/>
        <v>5</v>
      </c>
      <c r="L48" s="5">
        <f t="shared" si="1"/>
        <v>50</v>
      </c>
      <c r="M48" s="5">
        <f t="shared" si="2"/>
        <v>100</v>
      </c>
      <c r="N48" s="25" t="s">
        <v>30</v>
      </c>
      <c r="O48" s="41">
        <v>1.2</v>
      </c>
      <c r="P48" s="41">
        <f t="shared" si="3"/>
        <v>6</v>
      </c>
      <c r="Q48" s="67" t="s">
        <v>134</v>
      </c>
    </row>
    <row r="49" spans="1:17">
      <c r="A49" s="2">
        <v>47</v>
      </c>
      <c r="B49" s="207"/>
      <c r="C49" s="157" t="s">
        <v>273</v>
      </c>
      <c r="D49" s="158" t="s">
        <v>274</v>
      </c>
      <c r="E49" s="158" t="s">
        <v>275</v>
      </c>
      <c r="F49" s="158" t="s">
        <v>276</v>
      </c>
      <c r="G49" s="8" t="s">
        <v>277</v>
      </c>
      <c r="H49" s="158" t="s">
        <v>28</v>
      </c>
      <c r="I49" s="158" t="s">
        <v>120</v>
      </c>
      <c r="J49" s="8">
        <v>1</v>
      </c>
      <c r="K49" s="8">
        <f t="shared" si="0"/>
        <v>5</v>
      </c>
      <c r="L49" s="8">
        <f t="shared" si="1"/>
        <v>50</v>
      </c>
      <c r="M49" s="8">
        <f t="shared" si="2"/>
        <v>100</v>
      </c>
      <c r="N49" s="28" t="s">
        <v>79</v>
      </c>
      <c r="O49" s="30">
        <v>0.65400000000000003</v>
      </c>
      <c r="P49" s="30">
        <f t="shared" si="3"/>
        <v>3.27</v>
      </c>
      <c r="Q49" s="68" t="s">
        <v>134</v>
      </c>
    </row>
    <row r="50" spans="1:17">
      <c r="A50" s="2">
        <v>48</v>
      </c>
      <c r="B50" s="207"/>
      <c r="C50" s="157" t="s">
        <v>278</v>
      </c>
      <c r="D50" s="158" t="s">
        <v>279</v>
      </c>
      <c r="E50" s="158" t="s">
        <v>131</v>
      </c>
      <c r="F50" s="158" t="s">
        <v>280</v>
      </c>
      <c r="G50" s="8" t="s">
        <v>141</v>
      </c>
      <c r="H50" s="158" t="s">
        <v>28</v>
      </c>
      <c r="I50" s="158" t="s">
        <v>120</v>
      </c>
      <c r="J50" s="8">
        <v>1</v>
      </c>
      <c r="K50" s="8">
        <f t="shared" si="0"/>
        <v>5</v>
      </c>
      <c r="L50" s="8">
        <f t="shared" si="1"/>
        <v>50</v>
      </c>
      <c r="M50" s="8">
        <f t="shared" si="2"/>
        <v>100</v>
      </c>
      <c r="N50" s="28" t="s">
        <v>30</v>
      </c>
      <c r="O50" s="30">
        <v>0.54</v>
      </c>
      <c r="P50" s="30">
        <f t="shared" si="3"/>
        <v>2.7</v>
      </c>
      <c r="Q50" s="68" t="s">
        <v>134</v>
      </c>
    </row>
    <row r="51" spans="1:17">
      <c r="A51" s="2">
        <v>49</v>
      </c>
      <c r="B51" s="207"/>
      <c r="C51" s="157" t="s">
        <v>281</v>
      </c>
      <c r="D51" s="158" t="s">
        <v>282</v>
      </c>
      <c r="E51" s="158" t="s">
        <v>283</v>
      </c>
      <c r="F51" s="158" t="s">
        <v>284</v>
      </c>
      <c r="G51" s="8" t="s">
        <v>285</v>
      </c>
      <c r="H51" s="158" t="s">
        <v>28</v>
      </c>
      <c r="I51" s="158" t="s">
        <v>120</v>
      </c>
      <c r="J51" s="8">
        <v>1</v>
      </c>
      <c r="K51" s="8">
        <f t="shared" si="0"/>
        <v>5</v>
      </c>
      <c r="L51" s="8">
        <f t="shared" si="1"/>
        <v>50</v>
      </c>
      <c r="M51" s="8">
        <f t="shared" si="2"/>
        <v>100</v>
      </c>
      <c r="N51" s="28" t="s">
        <v>30</v>
      </c>
      <c r="O51" s="30">
        <v>0.38</v>
      </c>
      <c r="P51" s="30">
        <f t="shared" si="3"/>
        <v>1.9</v>
      </c>
      <c r="Q51" s="62"/>
    </row>
    <row r="52" spans="1:17">
      <c r="A52" s="2">
        <v>50</v>
      </c>
      <c r="B52" s="207"/>
      <c r="C52" s="157" t="s">
        <v>286</v>
      </c>
      <c r="D52" s="158" t="s">
        <v>287</v>
      </c>
      <c r="E52" s="158" t="s">
        <v>288</v>
      </c>
      <c r="F52" s="158" t="s">
        <v>289</v>
      </c>
      <c r="G52" s="8" t="s">
        <v>290</v>
      </c>
      <c r="H52" s="158" t="s">
        <v>28</v>
      </c>
      <c r="I52" s="158" t="s">
        <v>120</v>
      </c>
      <c r="J52" s="8">
        <v>1</v>
      </c>
      <c r="K52" s="8">
        <f t="shared" si="0"/>
        <v>5</v>
      </c>
      <c r="L52" s="8">
        <f t="shared" si="1"/>
        <v>50</v>
      </c>
      <c r="M52" s="8">
        <f t="shared" si="2"/>
        <v>100</v>
      </c>
      <c r="N52" s="28" t="s">
        <v>30</v>
      </c>
      <c r="O52" s="30">
        <v>4.2300000000000004</v>
      </c>
      <c r="P52" s="30">
        <f t="shared" si="3"/>
        <v>21.150000000000002</v>
      </c>
      <c r="Q52" s="68" t="s">
        <v>134</v>
      </c>
    </row>
    <row r="53" spans="1:17">
      <c r="A53" s="2">
        <v>51</v>
      </c>
      <c r="B53" s="207"/>
      <c r="C53" s="157" t="s">
        <v>291</v>
      </c>
      <c r="D53" s="158" t="s">
        <v>292</v>
      </c>
      <c r="E53" s="158" t="s">
        <v>293</v>
      </c>
      <c r="F53" s="158" t="s">
        <v>294</v>
      </c>
      <c r="G53" s="8" t="s">
        <v>295</v>
      </c>
      <c r="H53" s="158" t="s">
        <v>28</v>
      </c>
      <c r="I53" s="158" t="s">
        <v>120</v>
      </c>
      <c r="J53" s="8">
        <v>1</v>
      </c>
      <c r="K53" s="8">
        <f t="shared" si="0"/>
        <v>5</v>
      </c>
      <c r="L53" s="8">
        <f t="shared" si="1"/>
        <v>50</v>
      </c>
      <c r="M53" s="8">
        <f t="shared" si="2"/>
        <v>100</v>
      </c>
      <c r="N53" s="28" t="s">
        <v>85</v>
      </c>
      <c r="O53" s="30">
        <v>1.3006</v>
      </c>
      <c r="P53" s="30">
        <f t="shared" si="3"/>
        <v>6.5030000000000001</v>
      </c>
      <c r="Q53" s="62"/>
    </row>
    <row r="54" spans="1:17">
      <c r="A54" s="2">
        <v>52</v>
      </c>
      <c r="B54" s="207"/>
      <c r="C54" s="157" t="s">
        <v>296</v>
      </c>
      <c r="D54" s="158" t="s">
        <v>297</v>
      </c>
      <c r="E54" s="158" t="s">
        <v>298</v>
      </c>
      <c r="F54" s="158" t="s">
        <v>299</v>
      </c>
      <c r="G54" s="8" t="s">
        <v>295</v>
      </c>
      <c r="H54" s="158" t="s">
        <v>28</v>
      </c>
      <c r="I54" s="158" t="s">
        <v>120</v>
      </c>
      <c r="J54" s="8">
        <v>1</v>
      </c>
      <c r="K54" s="8">
        <f t="shared" si="0"/>
        <v>5</v>
      </c>
      <c r="L54" s="8">
        <f t="shared" si="1"/>
        <v>50</v>
      </c>
      <c r="M54" s="8">
        <f t="shared" si="2"/>
        <v>100</v>
      </c>
      <c r="N54" s="28" t="s">
        <v>30</v>
      </c>
      <c r="O54" s="30">
        <v>2.4</v>
      </c>
      <c r="P54" s="30">
        <f t="shared" si="3"/>
        <v>12</v>
      </c>
      <c r="Q54" s="68" t="s">
        <v>134</v>
      </c>
    </row>
    <row r="55" spans="1:17">
      <c r="A55" s="2">
        <v>53</v>
      </c>
      <c r="B55" s="207"/>
      <c r="C55" s="157" t="s">
        <v>300</v>
      </c>
      <c r="D55" s="158" t="s">
        <v>301</v>
      </c>
      <c r="E55" s="158" t="s">
        <v>283</v>
      </c>
      <c r="F55" s="158" t="s">
        <v>302</v>
      </c>
      <c r="G55" s="8" t="s">
        <v>290</v>
      </c>
      <c r="H55" s="158" t="s">
        <v>28</v>
      </c>
      <c r="I55" s="158" t="s">
        <v>120</v>
      </c>
      <c r="J55" s="8">
        <v>1</v>
      </c>
      <c r="K55" s="8">
        <f t="shared" si="0"/>
        <v>5</v>
      </c>
      <c r="L55" s="8">
        <f t="shared" si="1"/>
        <v>50</v>
      </c>
      <c r="M55" s="8">
        <f t="shared" si="2"/>
        <v>100</v>
      </c>
      <c r="N55" s="28" t="s">
        <v>30</v>
      </c>
      <c r="O55" s="30">
        <v>0.86</v>
      </c>
      <c r="P55" s="30">
        <f t="shared" si="3"/>
        <v>4.3</v>
      </c>
      <c r="Q55" s="68" t="s">
        <v>134</v>
      </c>
    </row>
    <row r="56" spans="1:17">
      <c r="A56" s="2">
        <v>54</v>
      </c>
      <c r="B56" s="207"/>
      <c r="C56" s="157" t="s">
        <v>303</v>
      </c>
      <c r="D56" s="158" t="s">
        <v>304</v>
      </c>
      <c r="E56" s="158" t="s">
        <v>283</v>
      </c>
      <c r="F56" s="158" t="s">
        <v>305</v>
      </c>
      <c r="G56" s="8" t="s">
        <v>295</v>
      </c>
      <c r="H56" s="158" t="s">
        <v>28</v>
      </c>
      <c r="I56" s="158" t="s">
        <v>120</v>
      </c>
      <c r="J56" s="8">
        <v>1</v>
      </c>
      <c r="K56" s="8">
        <f t="shared" si="0"/>
        <v>5</v>
      </c>
      <c r="L56" s="8">
        <f t="shared" si="1"/>
        <v>50</v>
      </c>
      <c r="M56" s="8">
        <f t="shared" si="2"/>
        <v>100</v>
      </c>
      <c r="N56" s="28" t="s">
        <v>30</v>
      </c>
      <c r="O56" s="30">
        <v>4.01</v>
      </c>
      <c r="P56" s="30">
        <f t="shared" si="3"/>
        <v>20.049999999999997</v>
      </c>
      <c r="Q56" s="62"/>
    </row>
    <row r="57" spans="1:17">
      <c r="A57" s="2">
        <v>55</v>
      </c>
      <c r="B57" s="216"/>
      <c r="C57" s="167" t="s">
        <v>306</v>
      </c>
      <c r="D57" s="168" t="s">
        <v>307</v>
      </c>
      <c r="E57" s="168" t="s">
        <v>308</v>
      </c>
      <c r="F57" s="184" t="s">
        <v>309</v>
      </c>
      <c r="G57" s="15" t="s">
        <v>310</v>
      </c>
      <c r="H57" s="15" t="s">
        <v>311</v>
      </c>
      <c r="I57" s="168" t="s">
        <v>120</v>
      </c>
      <c r="J57" s="15">
        <v>1</v>
      </c>
      <c r="K57" s="15">
        <f t="shared" si="0"/>
        <v>5</v>
      </c>
      <c r="L57" s="15">
        <f t="shared" si="1"/>
        <v>50</v>
      </c>
      <c r="M57" s="15">
        <f t="shared" si="2"/>
        <v>100</v>
      </c>
      <c r="N57" s="42" t="s">
        <v>30</v>
      </c>
      <c r="O57" s="43">
        <v>1.1499999999999999</v>
      </c>
      <c r="P57" s="43">
        <f t="shared" si="3"/>
        <v>5.75</v>
      </c>
      <c r="Q57" s="65"/>
    </row>
    <row r="58" spans="1:17">
      <c r="A58" s="23">
        <v>56</v>
      </c>
      <c r="B58" s="206"/>
      <c r="C58" s="198" t="s">
        <v>312</v>
      </c>
      <c r="D58" s="193" t="s">
        <v>313</v>
      </c>
      <c r="E58" s="193" t="s">
        <v>25</v>
      </c>
      <c r="F58" s="197" t="s">
        <v>314</v>
      </c>
      <c r="G58" s="193" t="s">
        <v>315</v>
      </c>
      <c r="H58" s="8" t="s">
        <v>316</v>
      </c>
      <c r="I58" s="155" t="s">
        <v>120</v>
      </c>
      <c r="J58" s="17">
        <v>1</v>
      </c>
      <c r="K58" s="8">
        <f t="shared" si="0"/>
        <v>5</v>
      </c>
      <c r="L58" s="8">
        <f t="shared" si="1"/>
        <v>50</v>
      </c>
      <c r="M58" s="8">
        <f t="shared" si="2"/>
        <v>100</v>
      </c>
      <c r="N58" s="57" t="s">
        <v>30</v>
      </c>
      <c r="O58" s="48">
        <v>0.47</v>
      </c>
      <c r="P58" s="36">
        <f t="shared" si="3"/>
        <v>2.3499999999999996</v>
      </c>
      <c r="Q58" s="71" t="s">
        <v>317</v>
      </c>
    </row>
    <row r="59" spans="1:17">
      <c r="A59" s="23">
        <v>57</v>
      </c>
      <c r="B59" s="207"/>
      <c r="C59" s="157" t="s">
        <v>318</v>
      </c>
      <c r="D59" s="158" t="s">
        <v>319</v>
      </c>
      <c r="E59" s="158" t="s">
        <v>25</v>
      </c>
      <c r="F59" s="159" t="s">
        <v>320</v>
      </c>
      <c r="G59" s="8" t="s">
        <v>158</v>
      </c>
      <c r="H59" s="158" t="s">
        <v>321</v>
      </c>
      <c r="I59" s="158" t="s">
        <v>120</v>
      </c>
      <c r="J59" s="8">
        <v>1</v>
      </c>
      <c r="K59" s="8">
        <f t="shared" si="0"/>
        <v>5</v>
      </c>
      <c r="L59" s="8">
        <f t="shared" si="1"/>
        <v>50</v>
      </c>
      <c r="M59" s="8">
        <f t="shared" si="2"/>
        <v>100</v>
      </c>
      <c r="N59" s="31" t="s">
        <v>30</v>
      </c>
      <c r="O59" s="30">
        <v>1.01</v>
      </c>
      <c r="P59" s="30">
        <f t="shared" si="3"/>
        <v>5.05</v>
      </c>
      <c r="Q59" s="59"/>
    </row>
    <row r="60" spans="1:17">
      <c r="A60" s="23">
        <v>58</v>
      </c>
      <c r="B60" s="207"/>
      <c r="C60" s="157" t="s">
        <v>322</v>
      </c>
      <c r="D60" s="158" t="s">
        <v>323</v>
      </c>
      <c r="E60" s="158" t="s">
        <v>25</v>
      </c>
      <c r="F60" s="159" t="s">
        <v>324</v>
      </c>
      <c r="G60" s="8" t="s">
        <v>325</v>
      </c>
      <c r="H60" s="8" t="s">
        <v>326</v>
      </c>
      <c r="I60" s="158" t="s">
        <v>120</v>
      </c>
      <c r="J60" s="8">
        <v>1</v>
      </c>
      <c r="K60" s="8">
        <f t="shared" si="0"/>
        <v>5</v>
      </c>
      <c r="L60" s="8">
        <f t="shared" si="1"/>
        <v>50</v>
      </c>
      <c r="M60" s="8">
        <f t="shared" si="2"/>
        <v>100</v>
      </c>
      <c r="N60" s="31" t="s">
        <v>30</v>
      </c>
      <c r="O60" s="30">
        <v>0.35</v>
      </c>
      <c r="P60" s="30">
        <f t="shared" si="3"/>
        <v>1.75</v>
      </c>
      <c r="Q60" s="59" t="s">
        <v>37</v>
      </c>
    </row>
    <row r="61" spans="1:17">
      <c r="A61" s="23">
        <v>59</v>
      </c>
      <c r="B61" s="207"/>
      <c r="C61" s="157" t="s">
        <v>327</v>
      </c>
      <c r="D61" s="158" t="s">
        <v>328</v>
      </c>
      <c r="E61" s="158" t="s">
        <v>25</v>
      </c>
      <c r="F61" s="158" t="s">
        <v>329</v>
      </c>
      <c r="G61" s="8" t="s">
        <v>330</v>
      </c>
      <c r="H61" s="158" t="s">
        <v>28</v>
      </c>
      <c r="I61" s="158" t="s">
        <v>120</v>
      </c>
      <c r="J61" s="8">
        <v>1</v>
      </c>
      <c r="K61" s="8">
        <f t="shared" si="0"/>
        <v>5</v>
      </c>
      <c r="L61" s="8">
        <f t="shared" si="1"/>
        <v>50</v>
      </c>
      <c r="M61" s="8">
        <f t="shared" si="2"/>
        <v>100</v>
      </c>
      <c r="N61" s="28" t="s">
        <v>30</v>
      </c>
      <c r="O61" s="30">
        <v>0.96</v>
      </c>
      <c r="P61" s="30">
        <f t="shared" si="3"/>
        <v>4.8</v>
      </c>
      <c r="Q61" s="62"/>
    </row>
    <row r="62" spans="1:17">
      <c r="A62" s="23">
        <v>60</v>
      </c>
      <c r="B62" s="207"/>
      <c r="C62" s="157" t="s">
        <v>331</v>
      </c>
      <c r="D62" s="158" t="s">
        <v>332</v>
      </c>
      <c r="E62" s="158" t="s">
        <v>25</v>
      </c>
      <c r="F62" s="159" t="s">
        <v>333</v>
      </c>
      <c r="G62" s="8" t="s">
        <v>25</v>
      </c>
      <c r="H62" s="8" t="s">
        <v>334</v>
      </c>
      <c r="I62" s="158" t="s">
        <v>120</v>
      </c>
      <c r="J62" s="8">
        <v>1</v>
      </c>
      <c r="K62" s="8">
        <f t="shared" si="0"/>
        <v>5</v>
      </c>
      <c r="L62" s="8">
        <f t="shared" si="1"/>
        <v>50</v>
      </c>
      <c r="M62" s="8">
        <f t="shared" si="2"/>
        <v>100</v>
      </c>
      <c r="N62" s="28" t="s">
        <v>30</v>
      </c>
      <c r="O62" s="30">
        <v>0.15</v>
      </c>
      <c r="P62" s="30">
        <f t="shared" si="3"/>
        <v>0.75</v>
      </c>
      <c r="Q62" s="62"/>
    </row>
    <row r="63" spans="1:17">
      <c r="A63" s="23">
        <v>61</v>
      </c>
      <c r="B63" s="207"/>
      <c r="C63" s="157" t="s">
        <v>335</v>
      </c>
      <c r="D63" s="158" t="s">
        <v>336</v>
      </c>
      <c r="E63" s="158" t="s">
        <v>25</v>
      </c>
      <c r="F63" s="159" t="s">
        <v>337</v>
      </c>
      <c r="G63" s="8" t="s">
        <v>338</v>
      </c>
      <c r="H63" s="8" t="s">
        <v>339</v>
      </c>
      <c r="I63" s="158" t="s">
        <v>120</v>
      </c>
      <c r="J63" s="8">
        <v>1</v>
      </c>
      <c r="K63" s="8">
        <f t="shared" si="0"/>
        <v>5</v>
      </c>
      <c r="L63" s="8">
        <f t="shared" si="1"/>
        <v>50</v>
      </c>
      <c r="M63" s="8">
        <f t="shared" si="2"/>
        <v>100</v>
      </c>
      <c r="N63" s="28" t="s">
        <v>30</v>
      </c>
      <c r="O63" s="30">
        <v>0.45</v>
      </c>
      <c r="P63" s="30">
        <f t="shared" si="3"/>
        <v>2.25</v>
      </c>
      <c r="Q63" s="59" t="s">
        <v>37</v>
      </c>
    </row>
    <row r="64" spans="1:17">
      <c r="A64" s="23">
        <v>62</v>
      </c>
      <c r="B64" s="207"/>
      <c r="C64" s="157" t="s">
        <v>340</v>
      </c>
      <c r="D64" s="158" t="s">
        <v>341</v>
      </c>
      <c r="E64" s="158" t="s">
        <v>25</v>
      </c>
      <c r="F64" s="159" t="s">
        <v>342</v>
      </c>
      <c r="G64" s="8" t="s">
        <v>343</v>
      </c>
      <c r="H64" s="8">
        <v>1715260000</v>
      </c>
      <c r="I64" s="158" t="s">
        <v>120</v>
      </c>
      <c r="J64" s="8">
        <v>1</v>
      </c>
      <c r="K64" s="8">
        <f t="shared" si="0"/>
        <v>5</v>
      </c>
      <c r="L64" s="8">
        <f t="shared" si="1"/>
        <v>50</v>
      </c>
      <c r="M64" s="8">
        <f t="shared" si="2"/>
        <v>100</v>
      </c>
      <c r="N64" s="28" t="s">
        <v>30</v>
      </c>
      <c r="O64" s="30">
        <v>2.13</v>
      </c>
      <c r="P64" s="30">
        <f t="shared" si="3"/>
        <v>10.649999999999999</v>
      </c>
      <c r="Q64" s="59" t="s">
        <v>37</v>
      </c>
    </row>
    <row r="65" spans="1:17">
      <c r="A65" s="23">
        <v>63</v>
      </c>
      <c r="B65" s="207"/>
      <c r="C65" s="157" t="s">
        <v>340</v>
      </c>
      <c r="D65" s="158" t="s">
        <v>344</v>
      </c>
      <c r="E65" s="158" t="s">
        <v>25</v>
      </c>
      <c r="F65" s="159" t="s">
        <v>345</v>
      </c>
      <c r="G65" s="8" t="s">
        <v>343</v>
      </c>
      <c r="H65" s="8">
        <v>1711725</v>
      </c>
      <c r="I65" s="158" t="s">
        <v>120</v>
      </c>
      <c r="J65" s="8">
        <v>2</v>
      </c>
      <c r="K65" s="8">
        <f t="shared" si="0"/>
        <v>10</v>
      </c>
      <c r="L65" s="8">
        <f t="shared" si="1"/>
        <v>100</v>
      </c>
      <c r="M65" s="8">
        <f t="shared" si="2"/>
        <v>200</v>
      </c>
      <c r="N65" s="28" t="s">
        <v>30</v>
      </c>
      <c r="O65" s="30">
        <v>2.1120000000000001</v>
      </c>
      <c r="P65" s="30">
        <f t="shared" si="3"/>
        <v>21.12</v>
      </c>
      <c r="Q65" s="59" t="s">
        <v>37</v>
      </c>
    </row>
    <row r="66" spans="1:17">
      <c r="A66" s="23">
        <v>64</v>
      </c>
      <c r="B66" s="207"/>
      <c r="C66" s="186" t="s">
        <v>346</v>
      </c>
      <c r="D66" s="159" t="s">
        <v>347</v>
      </c>
      <c r="E66" s="159" t="s">
        <v>25</v>
      </c>
      <c r="F66" s="159" t="s">
        <v>348</v>
      </c>
      <c r="G66" s="9" t="s">
        <v>25</v>
      </c>
      <c r="H66" s="159" t="s">
        <v>28</v>
      </c>
      <c r="I66" s="159" t="s">
        <v>120</v>
      </c>
      <c r="J66" s="9">
        <v>1</v>
      </c>
      <c r="K66" s="9">
        <f t="shared" si="0"/>
        <v>5</v>
      </c>
      <c r="L66" s="9">
        <f t="shared" si="1"/>
        <v>50</v>
      </c>
      <c r="M66" s="9">
        <f t="shared" si="2"/>
        <v>100</v>
      </c>
      <c r="N66" s="159" t="s">
        <v>120</v>
      </c>
      <c r="O66" s="159" t="s">
        <v>120</v>
      </c>
      <c r="P66" s="159" t="s">
        <v>120</v>
      </c>
      <c r="Q66" s="59" t="s">
        <v>349</v>
      </c>
    </row>
    <row r="67" spans="1:17">
      <c r="A67" s="23">
        <v>65</v>
      </c>
      <c r="B67" s="207"/>
      <c r="C67" s="186" t="s">
        <v>350</v>
      </c>
      <c r="D67" s="159" t="s">
        <v>351</v>
      </c>
      <c r="E67" s="159" t="s">
        <v>25</v>
      </c>
      <c r="F67" s="159" t="s">
        <v>352</v>
      </c>
      <c r="G67" s="9" t="s">
        <v>25</v>
      </c>
      <c r="H67" s="159" t="s">
        <v>28</v>
      </c>
      <c r="I67" s="159" t="s">
        <v>120</v>
      </c>
      <c r="J67" s="9">
        <v>6</v>
      </c>
      <c r="K67" s="9">
        <f t="shared" ref="K67:K74" si="4">J67*5</f>
        <v>30</v>
      </c>
      <c r="L67" s="9">
        <f t="shared" ref="L67:L74" si="5">J67*50</f>
        <v>300</v>
      </c>
      <c r="M67" s="9">
        <f t="shared" ref="M67:M74" si="6">J67*100</f>
        <v>600</v>
      </c>
      <c r="N67" s="159" t="s">
        <v>120</v>
      </c>
      <c r="O67" s="159" t="s">
        <v>120</v>
      </c>
      <c r="P67" s="159" t="s">
        <v>120</v>
      </c>
      <c r="Q67" s="59" t="s">
        <v>349</v>
      </c>
    </row>
    <row r="68" spans="1:17">
      <c r="A68" s="23">
        <v>66</v>
      </c>
      <c r="B68" s="207"/>
      <c r="C68" s="186" t="s">
        <v>353</v>
      </c>
      <c r="D68" s="159" t="s">
        <v>354</v>
      </c>
      <c r="E68" s="159" t="s">
        <v>25</v>
      </c>
      <c r="F68" s="159" t="s">
        <v>355</v>
      </c>
      <c r="G68" s="9" t="s">
        <v>356</v>
      </c>
      <c r="H68" s="72"/>
      <c r="I68" s="159" t="s">
        <v>120</v>
      </c>
      <c r="J68" s="9">
        <v>1</v>
      </c>
      <c r="K68" s="9">
        <f t="shared" si="4"/>
        <v>5</v>
      </c>
      <c r="L68" s="9">
        <f t="shared" si="5"/>
        <v>50</v>
      </c>
      <c r="M68" s="9">
        <f t="shared" si="6"/>
        <v>100</v>
      </c>
      <c r="N68" s="159" t="s">
        <v>120</v>
      </c>
      <c r="O68" s="159" t="s">
        <v>120</v>
      </c>
      <c r="P68" s="159" t="s">
        <v>120</v>
      </c>
      <c r="Q68" s="59" t="s">
        <v>349</v>
      </c>
    </row>
    <row r="69" spans="1:17" ht="25.5">
      <c r="A69" s="23">
        <v>67</v>
      </c>
      <c r="B69" s="216"/>
      <c r="C69" s="187" t="s">
        <v>357</v>
      </c>
      <c r="D69" s="188" t="s">
        <v>358</v>
      </c>
      <c r="E69" s="184" t="s">
        <v>25</v>
      </c>
      <c r="F69" s="184" t="s">
        <v>359</v>
      </c>
      <c r="G69" s="22" t="s">
        <v>25</v>
      </c>
      <c r="H69" s="184" t="s">
        <v>28</v>
      </c>
      <c r="I69" s="184" t="s">
        <v>120</v>
      </c>
      <c r="J69" s="22">
        <v>9</v>
      </c>
      <c r="K69" s="22">
        <f t="shared" si="4"/>
        <v>45</v>
      </c>
      <c r="L69" s="22">
        <f t="shared" si="5"/>
        <v>450</v>
      </c>
      <c r="M69" s="22">
        <f t="shared" si="6"/>
        <v>900</v>
      </c>
      <c r="N69" s="184" t="s">
        <v>120</v>
      </c>
      <c r="O69" s="184" t="s">
        <v>120</v>
      </c>
      <c r="P69" s="184" t="s">
        <v>120</v>
      </c>
      <c r="Q69" s="103" t="s">
        <v>349</v>
      </c>
    </row>
    <row r="70" spans="1:17">
      <c r="A70" s="23">
        <v>68</v>
      </c>
      <c r="B70" s="73" t="s">
        <v>360</v>
      </c>
      <c r="C70" s="189" t="s">
        <v>361</v>
      </c>
      <c r="D70" s="190" t="s">
        <v>105</v>
      </c>
      <c r="E70" s="20" t="s">
        <v>25</v>
      </c>
      <c r="F70" s="20" t="s">
        <v>362</v>
      </c>
      <c r="G70" s="20" t="s">
        <v>363</v>
      </c>
      <c r="H70" s="190" t="s">
        <v>105</v>
      </c>
      <c r="I70" s="190" t="s">
        <v>105</v>
      </c>
      <c r="J70" s="20">
        <v>1</v>
      </c>
      <c r="K70" s="20">
        <f t="shared" si="4"/>
        <v>5</v>
      </c>
      <c r="L70" s="20">
        <f t="shared" si="5"/>
        <v>50</v>
      </c>
      <c r="M70" s="20">
        <f t="shared" si="6"/>
        <v>100</v>
      </c>
      <c r="N70" s="90" t="s">
        <v>364</v>
      </c>
      <c r="O70" s="91">
        <v>14</v>
      </c>
      <c r="P70" s="53">
        <f>O70*K70</f>
        <v>70</v>
      </c>
      <c r="Q70" s="104" t="s">
        <v>365</v>
      </c>
    </row>
    <row r="71" spans="1:17">
      <c r="A71" s="23">
        <v>69</v>
      </c>
      <c r="B71" s="76" t="s">
        <v>371</v>
      </c>
      <c r="C71" s="77" t="s">
        <v>372</v>
      </c>
      <c r="D71" s="199" t="s">
        <v>105</v>
      </c>
      <c r="E71" s="78" t="s">
        <v>25</v>
      </c>
      <c r="F71" s="79" t="s">
        <v>373</v>
      </c>
      <c r="G71" s="79" t="s">
        <v>374</v>
      </c>
      <c r="H71" s="199" t="s">
        <v>105</v>
      </c>
      <c r="I71" s="199" t="s">
        <v>105</v>
      </c>
      <c r="J71" s="92">
        <v>3</v>
      </c>
      <c r="K71" s="78">
        <f t="shared" si="4"/>
        <v>15</v>
      </c>
      <c r="L71" s="78">
        <f t="shared" si="5"/>
        <v>150</v>
      </c>
      <c r="M71" s="78">
        <f t="shared" si="6"/>
        <v>300</v>
      </c>
      <c r="N71" s="90" t="s">
        <v>364</v>
      </c>
      <c r="O71" s="93">
        <v>3.35</v>
      </c>
      <c r="P71" s="94">
        <f>O71*K71</f>
        <v>50.25</v>
      </c>
      <c r="Q71" s="105"/>
    </row>
    <row r="72" spans="1:17">
      <c r="A72" s="23">
        <v>70</v>
      </c>
      <c r="B72" s="76" t="s">
        <v>375</v>
      </c>
      <c r="C72" s="74" t="s">
        <v>376</v>
      </c>
      <c r="D72" s="199" t="s">
        <v>105</v>
      </c>
      <c r="E72" s="78" t="s">
        <v>25</v>
      </c>
      <c r="F72" s="80" t="s">
        <v>377</v>
      </c>
      <c r="G72" s="78" t="s">
        <v>378</v>
      </c>
      <c r="H72" s="199" t="s">
        <v>105</v>
      </c>
      <c r="I72" s="199" t="s">
        <v>105</v>
      </c>
      <c r="J72" s="92">
        <v>1</v>
      </c>
      <c r="K72" s="78">
        <f t="shared" si="4"/>
        <v>5</v>
      </c>
      <c r="L72" s="78">
        <f t="shared" si="5"/>
        <v>50</v>
      </c>
      <c r="M72" s="78">
        <f t="shared" si="6"/>
        <v>100</v>
      </c>
      <c r="N72" s="90" t="s">
        <v>364</v>
      </c>
      <c r="O72" s="95">
        <v>9.8000000000000007</v>
      </c>
      <c r="P72" s="94">
        <f>O72*K72</f>
        <v>49</v>
      </c>
      <c r="Q72" s="105"/>
    </row>
    <row r="73" spans="1:17">
      <c r="A73" s="23">
        <v>71</v>
      </c>
      <c r="B73" s="76" t="s">
        <v>379</v>
      </c>
      <c r="C73" s="81" t="s">
        <v>380</v>
      </c>
      <c r="D73" s="199" t="s">
        <v>105</v>
      </c>
      <c r="E73" s="78" t="s">
        <v>25</v>
      </c>
      <c r="F73" s="78" t="s">
        <v>381</v>
      </c>
      <c r="G73" s="200" t="s">
        <v>105</v>
      </c>
      <c r="H73" s="199" t="s">
        <v>105</v>
      </c>
      <c r="I73" s="199" t="s">
        <v>105</v>
      </c>
      <c r="J73" s="92">
        <v>1</v>
      </c>
      <c r="K73" s="78">
        <f t="shared" si="4"/>
        <v>5</v>
      </c>
      <c r="L73" s="78">
        <f t="shared" si="5"/>
        <v>50</v>
      </c>
      <c r="M73" s="78">
        <f t="shared" si="6"/>
        <v>100</v>
      </c>
      <c r="N73" s="96" t="s">
        <v>364</v>
      </c>
      <c r="O73" s="93">
        <v>11.8</v>
      </c>
      <c r="P73" s="94">
        <f>O73*K73</f>
        <v>59</v>
      </c>
      <c r="Q73" s="105"/>
    </row>
    <row r="74" spans="1:17">
      <c r="A74" s="82">
        <v>72</v>
      </c>
      <c r="B74" s="83" t="s">
        <v>382</v>
      </c>
      <c r="C74" s="84" t="s">
        <v>383</v>
      </c>
      <c r="D74" s="199" t="s">
        <v>105</v>
      </c>
      <c r="E74" s="78" t="s">
        <v>25</v>
      </c>
      <c r="F74" s="78" t="s">
        <v>384</v>
      </c>
      <c r="G74" s="78" t="s">
        <v>384</v>
      </c>
      <c r="H74" s="199" t="s">
        <v>105</v>
      </c>
      <c r="I74" s="199" t="s">
        <v>105</v>
      </c>
      <c r="J74" s="97">
        <v>1</v>
      </c>
      <c r="K74" s="78">
        <f t="shared" si="4"/>
        <v>5</v>
      </c>
      <c r="L74" s="78">
        <f t="shared" si="5"/>
        <v>50</v>
      </c>
      <c r="M74" s="78">
        <f t="shared" si="6"/>
        <v>100</v>
      </c>
      <c r="N74" s="96" t="s">
        <v>384</v>
      </c>
      <c r="O74" s="98">
        <v>3.95</v>
      </c>
      <c r="P74" s="94">
        <f>O74*K74</f>
        <v>19.75</v>
      </c>
      <c r="Q74" s="105"/>
    </row>
    <row r="75" spans="1:17" ht="18.75">
      <c r="A75" s="85"/>
      <c r="B75" s="86"/>
      <c r="C75" s="87"/>
      <c r="D75" s="88"/>
      <c r="E75" s="88"/>
      <c r="F75" s="88"/>
      <c r="G75" s="88"/>
      <c r="H75" s="89"/>
      <c r="I75" s="214" t="s">
        <v>366</v>
      </c>
      <c r="J75" s="214"/>
      <c r="K75" s="214"/>
      <c r="L75" s="214"/>
      <c r="M75" s="214"/>
      <c r="N75" s="214"/>
      <c r="O75" s="89"/>
      <c r="P75" s="99">
        <f>SUM(P3:P74)</f>
        <v>495.55750000000006</v>
      </c>
      <c r="Q75" s="89"/>
    </row>
    <row r="76" spans="1:17" ht="18.75">
      <c r="A76" s="85"/>
      <c r="B76" s="86"/>
      <c r="C76" s="87"/>
      <c r="D76" s="88"/>
      <c r="E76" s="88"/>
      <c r="F76" s="88"/>
      <c r="G76" s="88"/>
      <c r="H76" s="89"/>
      <c r="I76" s="215" t="s">
        <v>367</v>
      </c>
      <c r="J76" s="215"/>
      <c r="K76" s="215"/>
      <c r="L76" s="215"/>
      <c r="M76" s="215"/>
      <c r="N76" s="215"/>
      <c r="O76" s="89"/>
      <c r="P76" s="100">
        <f>P75/5</f>
        <v>99.111500000000007</v>
      </c>
      <c r="Q76" s="89"/>
    </row>
    <row r="77" spans="1:17" ht="18.75">
      <c r="A77" s="85"/>
      <c r="B77" s="86"/>
      <c r="C77" s="87"/>
      <c r="D77" s="88"/>
      <c r="E77" s="88"/>
      <c r="F77" s="88"/>
      <c r="G77" s="88"/>
      <c r="H77" s="89"/>
      <c r="I77" s="215" t="s">
        <v>368</v>
      </c>
      <c r="J77" s="215"/>
      <c r="K77" s="215"/>
      <c r="L77" s="215"/>
      <c r="M77" s="215"/>
      <c r="N77" s="215"/>
      <c r="O77" s="89"/>
      <c r="P77" s="101">
        <v>88</v>
      </c>
      <c r="Q77" s="89"/>
    </row>
    <row r="78" spans="1:17">
      <c r="A78" s="85"/>
      <c r="B78" s="86"/>
      <c r="C78" s="87"/>
      <c r="D78" s="88"/>
      <c r="E78" s="88"/>
      <c r="F78" s="88"/>
      <c r="G78" s="88"/>
      <c r="H78" s="89"/>
      <c r="I78" s="56"/>
      <c r="J78" s="88"/>
      <c r="K78" s="89"/>
      <c r="L78" s="89"/>
      <c r="M78" s="89"/>
      <c r="N78" s="88"/>
      <c r="O78" s="102" t="s">
        <v>369</v>
      </c>
      <c r="P78" s="30">
        <f>SUM(P76:P77)</f>
        <v>187.11150000000001</v>
      </c>
      <c r="Q78" s="89"/>
    </row>
  </sheetData>
  <mergeCells count="11">
    <mergeCell ref="A1:Q1"/>
    <mergeCell ref="I75:N75"/>
    <mergeCell ref="I76:N76"/>
    <mergeCell ref="I77:N77"/>
    <mergeCell ref="B3:B16"/>
    <mergeCell ref="B17:B18"/>
    <mergeCell ref="B20:B25"/>
    <mergeCell ref="B26:B27"/>
    <mergeCell ref="B30:B47"/>
    <mergeCell ref="B48:B57"/>
    <mergeCell ref="B58:B69"/>
  </mergeCells>
  <conditionalFormatting sqref="J7">
    <cfRule type="colorScale" priority="34">
      <colorScale>
        <cfvo type="min"/>
        <cfvo type="percentile" val="50"/>
        <cfvo type="max"/>
        <color rgb="FFF8696B"/>
        <color rgb="FFFFEB84"/>
        <color rgb="FF63BE7B"/>
      </colorScale>
    </cfRule>
  </conditionalFormatting>
  <conditionalFormatting sqref="J8">
    <cfRule type="colorScale" priority="30">
      <colorScale>
        <cfvo type="min"/>
        <cfvo type="percentile" val="50"/>
        <cfvo type="max"/>
        <color rgb="FFF8696B"/>
        <color rgb="FFFFEB84"/>
        <color rgb="FF63BE7B"/>
      </colorScale>
    </cfRule>
  </conditionalFormatting>
  <conditionalFormatting sqref="J17:M17">
    <cfRule type="colorScale" priority="10">
      <colorScale>
        <cfvo type="min"/>
        <cfvo type="percentile" val="50"/>
        <cfvo type="max"/>
        <color rgb="FFF8696B"/>
        <color rgb="FFFFEB84"/>
        <color rgb="FF63BE7B"/>
      </colorScale>
    </cfRule>
  </conditionalFormatting>
  <conditionalFormatting sqref="P76">
    <cfRule type="dataBar" priority="32">
      <dataBar>
        <cfvo type="min"/>
        <cfvo type="max"/>
        <color rgb="FFD6007B"/>
      </dataBar>
      <extLst>
        <ext xmlns:x14="http://schemas.microsoft.com/office/spreadsheetml/2009/9/main" uri="{B025F937-C7B1-47D3-B67F-A62EFF666E3E}">
          <x14:id>{1351BBD1-D84F-45A1-8B22-E8C7BB03CAA3}</x14:id>
        </ext>
      </extLst>
    </cfRule>
  </conditionalFormatting>
  <conditionalFormatting sqref="P78">
    <cfRule type="dataBar" priority="4">
      <dataBar>
        <cfvo type="min"/>
        <cfvo type="max"/>
        <color rgb="FF638EC6"/>
      </dataBar>
      <extLst>
        <ext xmlns:x14="http://schemas.microsoft.com/office/spreadsheetml/2009/9/main" uri="{B025F937-C7B1-47D3-B67F-A62EFF666E3E}">
          <x14:id>{E17A5610-90E8-404E-AE28-EA4AC3E83B7F}</x14:id>
        </ext>
      </extLst>
    </cfRule>
  </conditionalFormatting>
  <conditionalFormatting sqref="J3:J10">
    <cfRule type="colorScale" priority="35">
      <colorScale>
        <cfvo type="min"/>
        <cfvo type="percentile" val="50"/>
        <cfvo type="max"/>
        <color rgb="FF63BE7B"/>
        <color rgb="FFFFEB84"/>
        <color rgb="FFF8696B"/>
      </colorScale>
    </cfRule>
  </conditionalFormatting>
  <conditionalFormatting sqref="J9:J10">
    <cfRule type="colorScale" priority="29">
      <colorScale>
        <cfvo type="min"/>
        <cfvo type="percentile" val="50"/>
        <cfvo type="max"/>
        <color rgb="FFF8696B"/>
        <color rgb="FFFFEB84"/>
        <color rgb="FF63BE7B"/>
      </colorScale>
    </cfRule>
  </conditionalFormatting>
  <conditionalFormatting sqref="J19:J22">
    <cfRule type="colorScale" priority="26">
      <colorScale>
        <cfvo type="min"/>
        <cfvo type="percentile" val="50"/>
        <cfvo type="max"/>
        <color rgb="FF63BE7B"/>
        <color rgb="FFFFEB84"/>
        <color rgb="FFF8696B"/>
      </colorScale>
    </cfRule>
    <cfRule type="colorScale" priority="25">
      <colorScale>
        <cfvo type="min"/>
        <cfvo type="percentile" val="50"/>
        <cfvo type="max"/>
        <color rgb="FFF8696B"/>
        <color rgb="FFFFEB84"/>
        <color rgb="FF63BE7B"/>
      </colorScale>
    </cfRule>
  </conditionalFormatting>
  <conditionalFormatting sqref="J23:J24">
    <cfRule type="colorScale" priority="24">
      <colorScale>
        <cfvo type="min"/>
        <cfvo type="percentile" val="50"/>
        <cfvo type="max"/>
        <color rgb="FF63BE7B"/>
        <color rgb="FFFFEB84"/>
        <color rgb="FFF8696B"/>
      </colorScale>
    </cfRule>
    <cfRule type="colorScale" priority="23">
      <colorScale>
        <cfvo type="min"/>
        <cfvo type="percentile" val="50"/>
        <cfvo type="max"/>
        <color rgb="FFF8696B"/>
        <color rgb="FFFFEB84"/>
        <color rgb="FF63BE7B"/>
      </colorScale>
    </cfRule>
  </conditionalFormatting>
  <conditionalFormatting sqref="J70:J74">
    <cfRule type="colorScale" priority="8">
      <colorScale>
        <cfvo type="min"/>
        <cfvo type="percentile" val="50"/>
        <cfvo type="max"/>
        <color rgb="FFF8696B"/>
        <color rgb="FFFFEB84"/>
        <color rgb="FF63BE7B"/>
      </colorScale>
    </cfRule>
    <cfRule type="colorScale" priority="9">
      <colorScale>
        <cfvo type="min"/>
        <cfvo type="percentile" val="50"/>
        <cfvo type="max"/>
        <color rgb="FF63BE7B"/>
        <color rgb="FFFFEB84"/>
        <color rgb="FFF8696B"/>
      </colorScale>
    </cfRule>
  </conditionalFormatting>
  <conditionalFormatting sqref="P3:P65">
    <cfRule type="dataBar" priority="31">
      <dataBar>
        <cfvo type="min"/>
        <cfvo type="max"/>
        <color rgb="FF638EC6"/>
      </dataBar>
      <extLst>
        <ext xmlns:x14="http://schemas.microsoft.com/office/spreadsheetml/2009/9/main" uri="{B025F937-C7B1-47D3-B67F-A62EFF666E3E}">
          <x14:id>{9978BB68-56CB-4B58-8CF6-32E5355B37C9}</x14:id>
        </ext>
      </extLst>
    </cfRule>
  </conditionalFormatting>
  <conditionalFormatting sqref="P70:P74">
    <cfRule type="dataBar" priority="7">
      <dataBar>
        <cfvo type="min"/>
        <cfvo type="max"/>
        <color rgb="FF638EC6"/>
      </dataBar>
      <extLst>
        <ext xmlns:x14="http://schemas.microsoft.com/office/spreadsheetml/2009/9/main" uri="{B025F937-C7B1-47D3-B67F-A62EFF666E3E}">
          <x14:id>{953034B0-5662-4C94-A71A-79BE96AE2B0D}</x14:id>
        </ext>
      </extLst>
    </cfRule>
  </conditionalFormatting>
  <conditionalFormatting sqref="J3:M3 J4:J6 K4:M16 K18:M74">
    <cfRule type="colorScale" priority="37">
      <colorScale>
        <cfvo type="min"/>
        <cfvo type="percentile" val="50"/>
        <cfvo type="max"/>
        <color rgb="FFF8696B"/>
        <color rgb="FFFFEB84"/>
        <color rgb="FF63BE7B"/>
      </colorScale>
    </cfRule>
  </conditionalFormatting>
  <conditionalFormatting sqref="K3:M16 K18:M74">
    <cfRule type="colorScale" priority="36">
      <colorScale>
        <cfvo type="min"/>
        <cfvo type="percentile" val="50"/>
        <cfvo type="max"/>
        <color rgb="FF63BE7B"/>
        <color rgb="FFFFEB84"/>
        <color rgb="FFF8696B"/>
      </colorScale>
    </cfRule>
  </conditionalFormatting>
  <conditionalFormatting sqref="J11:J16 J18">
    <cfRule type="colorScale" priority="28">
      <colorScale>
        <cfvo type="min"/>
        <cfvo type="percentile" val="50"/>
        <cfvo type="max"/>
        <color rgb="FF63BE7B"/>
        <color rgb="FFFFEB84"/>
        <color rgb="FFF8696B"/>
      </colorScale>
    </cfRule>
    <cfRule type="colorScale" priority="27">
      <colorScale>
        <cfvo type="min"/>
        <cfvo type="percentile" val="50"/>
        <cfvo type="max"/>
        <color rgb="FFF8696B"/>
        <color rgb="FFFFEB84"/>
        <color rgb="FF63BE7B"/>
      </colorScale>
    </cfRule>
  </conditionalFormatting>
  <conditionalFormatting sqref="J25:J28 J69 J62 J66:J67 J46:J47">
    <cfRule type="colorScale" priority="22">
      <colorScale>
        <cfvo type="min"/>
        <cfvo type="percentile" val="50"/>
        <cfvo type="max"/>
        <color rgb="FFF8696B"/>
        <color rgb="FFFFEB84"/>
        <color rgb="FF63BE7B"/>
      </colorScale>
    </cfRule>
  </conditionalFormatting>
  <conditionalFormatting sqref="J25:J33 J69 J62 J46:J52 J66:J67">
    <cfRule type="colorScale" priority="21">
      <colorScale>
        <cfvo type="min"/>
        <cfvo type="percentile" val="50"/>
        <cfvo type="max"/>
        <color rgb="FF63BE7B"/>
        <color rgb="FFFFEB84"/>
        <color rgb="FFF8696B"/>
      </colorScale>
    </cfRule>
  </conditionalFormatting>
  <conditionalFormatting sqref="J48 J29">
    <cfRule type="colorScale" priority="19">
      <colorScale>
        <cfvo type="min"/>
        <cfvo type="percentile" val="50"/>
        <cfvo type="max"/>
        <color rgb="FFF8696B"/>
        <color rgb="FFFFEB84"/>
        <color rgb="FF63BE7B"/>
      </colorScale>
    </cfRule>
  </conditionalFormatting>
  <conditionalFormatting sqref="J49 J30">
    <cfRule type="colorScale" priority="18">
      <colorScale>
        <cfvo type="min"/>
        <cfvo type="percentile" val="50"/>
        <cfvo type="max"/>
        <color rgb="FFF8696B"/>
        <color rgb="FFFFEB84"/>
        <color rgb="FF63BE7B"/>
      </colorScale>
    </cfRule>
  </conditionalFormatting>
  <conditionalFormatting sqref="J31:J32 J50:J51">
    <cfRule type="colorScale" priority="17">
      <colorScale>
        <cfvo type="min"/>
        <cfvo type="percentile" val="50"/>
        <cfvo type="max"/>
        <color rgb="FFF8696B"/>
        <color rgb="FFFFEB84"/>
        <color rgb="FF63BE7B"/>
      </colorScale>
    </cfRule>
  </conditionalFormatting>
  <conditionalFormatting sqref="J52 J33">
    <cfRule type="colorScale" priority="20">
      <colorScale>
        <cfvo type="min"/>
        <cfvo type="percentile" val="50"/>
        <cfvo type="max"/>
        <color rgb="FFF8696B"/>
        <color rgb="FFFFEB84"/>
        <color rgb="FF63BE7B"/>
      </colorScale>
    </cfRule>
  </conditionalFormatting>
  <conditionalFormatting sqref="J34:J38 J53:J60">
    <cfRule type="colorScale" priority="16">
      <colorScale>
        <cfvo type="min"/>
        <cfvo type="percentile" val="50"/>
        <cfvo type="max"/>
        <color rgb="FF63BE7B"/>
        <color rgb="FFFFEB84"/>
        <color rgb="FFF8696B"/>
      </colorScale>
    </cfRule>
    <cfRule type="colorScale" priority="15">
      <colorScale>
        <cfvo type="min"/>
        <cfvo type="percentile" val="50"/>
        <cfvo type="max"/>
        <color rgb="FFF8696B"/>
        <color rgb="FFFFEB84"/>
        <color rgb="FF63BE7B"/>
      </colorScale>
    </cfRule>
  </conditionalFormatting>
  <conditionalFormatting sqref="J39:J44 J63:J64 J68 J61">
    <cfRule type="colorScale" priority="14">
      <colorScale>
        <cfvo type="min"/>
        <cfvo type="percentile" val="50"/>
        <cfvo type="max"/>
        <color rgb="FF63BE7B"/>
        <color rgb="FFFFEB84"/>
        <color rgb="FFF8696B"/>
      </colorScale>
    </cfRule>
    <cfRule type="colorScale" priority="13">
      <colorScale>
        <cfvo type="min"/>
        <cfvo type="percentile" val="50"/>
        <cfvo type="max"/>
        <color rgb="FFF8696B"/>
        <color rgb="FFFFEB84"/>
        <color rgb="FF63BE7B"/>
      </colorScale>
    </cfRule>
  </conditionalFormatting>
  <conditionalFormatting sqref="J45 J65">
    <cfRule type="colorScale" priority="12">
      <colorScale>
        <cfvo type="min"/>
        <cfvo type="percentile" val="50"/>
        <cfvo type="max"/>
        <color rgb="FF63BE7B"/>
        <color rgb="FFFFEB84"/>
        <color rgb="FFF8696B"/>
      </colorScale>
    </cfRule>
    <cfRule type="colorScale" priority="11">
      <colorScale>
        <cfvo type="min"/>
        <cfvo type="percentile" val="50"/>
        <cfvo type="max"/>
        <color rgb="FFF8696B"/>
        <color rgb="FFFFEB84"/>
        <color rgb="FF63BE7B"/>
      </colorScale>
    </cfRule>
  </conditionalFormatting>
  <hyperlinks>
    <hyperlink ref="N3" r:id="rId1"/>
    <hyperlink ref="N5" r:id="rId2"/>
    <hyperlink ref="N6" r:id="rId3"/>
    <hyperlink ref="N7" r:id="rId4"/>
    <hyperlink ref="N8" r:id="rId5"/>
    <hyperlink ref="N9" r:id="rId6"/>
    <hyperlink ref="N10" r:id="rId7"/>
    <hyperlink ref="N11" r:id="rId8"/>
    <hyperlink ref="N12" r:id="rId9"/>
    <hyperlink ref="N13" r:id="rId10"/>
    <hyperlink ref="N14" r:id="rId11"/>
    <hyperlink ref="N15" r:id="rId12"/>
    <hyperlink ref="N16" r:id="rId13"/>
    <hyperlink ref="N18" r:id="rId14"/>
    <hyperlink ref="N25" r:id="rId15"/>
    <hyperlink ref="N27" r:id="rId16"/>
    <hyperlink ref="N31" r:id="rId17"/>
    <hyperlink ref="N32" r:id="rId18"/>
    <hyperlink ref="N33" r:id="rId19"/>
    <hyperlink ref="N34" r:id="rId20"/>
    <hyperlink ref="N35" r:id="rId21"/>
    <hyperlink ref="N36" r:id="rId22"/>
    <hyperlink ref="N37" r:id="rId23"/>
    <hyperlink ref="N38" r:id="rId24"/>
    <hyperlink ref="N39" r:id="rId25"/>
    <hyperlink ref="N40" r:id="rId26"/>
    <hyperlink ref="N45" r:id="rId27"/>
    <hyperlink ref="N46" r:id="rId28"/>
    <hyperlink ref="N51" r:id="rId29"/>
    <hyperlink ref="N53" r:id="rId30"/>
    <hyperlink ref="N56" r:id="rId31"/>
    <hyperlink ref="N57" r:id="rId32"/>
    <hyperlink ref="N61" r:id="rId33"/>
    <hyperlink ref="N30" r:id="rId34"/>
    <hyperlink ref="N43" r:id="rId35"/>
    <hyperlink ref="N44" r:id="rId36"/>
    <hyperlink ref="N19" r:id="rId37"/>
    <hyperlink ref="N20" r:id="rId38"/>
    <hyperlink ref="N21" r:id="rId39"/>
    <hyperlink ref="N22" r:id="rId40"/>
    <hyperlink ref="N23" r:id="rId41"/>
    <hyperlink ref="N29" r:id="rId42"/>
    <hyperlink ref="N48" r:id="rId43"/>
    <hyperlink ref="N50" r:id="rId44"/>
    <hyperlink ref="N4" r:id="rId45"/>
    <hyperlink ref="N26" r:id="rId46"/>
    <hyperlink ref="N28" r:id="rId47"/>
    <hyperlink ref="N49" r:id="rId48"/>
    <hyperlink ref="N52" r:id="rId49"/>
    <hyperlink ref="N54" r:id="rId50"/>
    <hyperlink ref="N55" r:id="rId51"/>
    <hyperlink ref="N59" r:id="rId52"/>
    <hyperlink ref="N60" r:id="rId53"/>
    <hyperlink ref="N63" r:id="rId54"/>
    <hyperlink ref="N64" r:id="rId55"/>
    <hyperlink ref="N65" r:id="rId56"/>
    <hyperlink ref="N62" r:id="rId57"/>
    <hyperlink ref="N17" r:id="rId58"/>
    <hyperlink ref="N41" r:id="rId59"/>
    <hyperlink ref="N42" r:id="rId60"/>
    <hyperlink ref="N47" r:id="rId61"/>
    <hyperlink ref="N58" r:id="rId62"/>
    <hyperlink ref="N24" r:id="rId63"/>
    <hyperlink ref="N74" r:id="rId64" location="technical-details"/>
  </hyperlink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1351BBD1-D84F-45A1-8B22-E8C7BB03CAA3}">
            <x14:dataBar minLength="0" maxLength="100" border="1" negativeBarBorderColorSameAsPositive="0">
              <x14:cfvo type="autoMin"/>
              <x14:cfvo type="autoMax"/>
              <x14:borderColor rgb="FFD6007B"/>
              <x14:negativeFillColor rgb="FFFF0000"/>
              <x14:negativeBorderColor rgb="FFFF0000"/>
              <x14:axisColor rgb="FF000000"/>
            </x14:dataBar>
          </x14:cfRule>
          <xm:sqref>P76</xm:sqref>
        </x14:conditionalFormatting>
        <x14:conditionalFormatting xmlns:xm="http://schemas.microsoft.com/office/excel/2006/main">
          <x14:cfRule type="dataBar" id="{E17A5610-90E8-404E-AE28-EA4AC3E83B7F}">
            <x14:dataBar minLength="0" maxLength="100" border="1" negativeBarBorderColorSameAsPositive="0">
              <x14:cfvo type="autoMin"/>
              <x14:cfvo type="autoMax"/>
              <x14:borderColor rgb="FF638EC6"/>
              <x14:negativeFillColor rgb="FFFF0000"/>
              <x14:negativeBorderColor rgb="FFFF0000"/>
              <x14:axisColor rgb="FF000000"/>
            </x14:dataBar>
          </x14:cfRule>
          <xm:sqref>P78</xm:sqref>
        </x14:conditionalFormatting>
        <x14:conditionalFormatting xmlns:xm="http://schemas.microsoft.com/office/excel/2006/main">
          <x14:cfRule type="dataBar" id="{9978BB68-56CB-4B58-8CF6-32E5355B37C9}">
            <x14:dataBar minLength="0" maxLength="100" border="1" negativeBarBorderColorSameAsPositive="0">
              <x14:cfvo type="autoMin"/>
              <x14:cfvo type="autoMax"/>
              <x14:borderColor rgb="FF638EC6"/>
              <x14:negativeFillColor rgb="FFFF0000"/>
              <x14:negativeBorderColor rgb="FFFF0000"/>
              <x14:axisColor rgb="FF000000"/>
            </x14:dataBar>
          </x14:cfRule>
          <xm:sqref>P3:P65</xm:sqref>
        </x14:conditionalFormatting>
        <x14:conditionalFormatting xmlns:xm="http://schemas.microsoft.com/office/excel/2006/main">
          <x14:cfRule type="dataBar" id="{953034B0-5662-4C94-A71A-79BE96AE2B0D}">
            <x14:dataBar minLength="0" maxLength="100" border="1" negativeBarBorderColorSameAsPositive="0">
              <x14:cfvo type="autoMin"/>
              <x14:cfvo type="autoMax"/>
              <x14:borderColor rgb="FF638EC6"/>
              <x14:negativeFillColor rgb="FFFF0000"/>
              <x14:negativeBorderColor rgb="FFFF0000"/>
              <x14:axisColor rgb="FF000000"/>
            </x14:dataBar>
          </x14:cfRule>
          <xm:sqref>P70:P74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Grant_Project</vt:lpstr>
      <vt:lpstr>Grant_(5)Boards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DANISH TRADERS</cp:lastModifiedBy>
  <dcterms:created xsi:type="dcterms:W3CDTF">2021-05-17T11:34:00Z</dcterms:created>
  <dcterms:modified xsi:type="dcterms:W3CDTF">2022-05-26T06:34:54Z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1033-11.2.0.11029</vt:lpwstr>
  </property>
  <property fmtid="{D5CDD505-2E9C-101B-9397-08002B2CF9AE}" pid="3" name="ICV">
    <vt:lpwstr>B2AB68E3510D4F149953D6F46BC85A79</vt:lpwstr>
  </property>
</Properties>
</file>