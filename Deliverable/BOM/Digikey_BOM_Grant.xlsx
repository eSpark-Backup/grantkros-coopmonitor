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GitHub\GrantKros-CoopMonitor\Deliverable\BOM\"/>
    </mc:Choice>
  </mc:AlternateContent>
  <xr:revisionPtr revIDLastSave="0" documentId="13_ncr:1_{072E0D1C-2C15-41AE-A304-46E92361F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Jude_Projec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73" i="1" l="1"/>
  <c r="R73" i="1"/>
  <c r="P7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6" i="1"/>
  <c r="T67" i="1"/>
  <c r="T68" i="1"/>
  <c r="T71" i="1"/>
  <c r="T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6" i="1"/>
  <c r="R67" i="1"/>
  <c r="R68" i="1"/>
  <c r="R71" i="1"/>
  <c r="R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6" i="1"/>
  <c r="P67" i="1"/>
  <c r="P68" i="1"/>
  <c r="P71" i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3" i="1"/>
  <c r="P74" i="1" l="1"/>
  <c r="T74" i="1"/>
  <c r="R74" i="1"/>
</calcChain>
</file>

<file path=xl/sharedStrings.xml><?xml version="1.0" encoding="utf-8"?>
<sst xmlns="http://schemas.openxmlformats.org/spreadsheetml/2006/main" count="637" uniqueCount="369">
  <si>
    <t>Description</t>
  </si>
  <si>
    <t>Designator</t>
  </si>
  <si>
    <t>Manufacturer</t>
  </si>
  <si>
    <t>Manufacturer Part Number</t>
  </si>
  <si>
    <t>S. No.</t>
  </si>
  <si>
    <t>Components</t>
  </si>
  <si>
    <t>Footprint (Package)</t>
  </si>
  <si>
    <t>Alternate</t>
  </si>
  <si>
    <t>Value</t>
  </si>
  <si>
    <t>Quantity (Per Board)</t>
  </si>
  <si>
    <t>Remarks</t>
  </si>
  <si>
    <t>Capacitor</t>
  </si>
  <si>
    <t xml:space="preserve">Total Component Cost </t>
  </si>
  <si>
    <t>Single Board Cost</t>
  </si>
  <si>
    <t>Link</t>
  </si>
  <si>
    <t>Res0402</t>
  </si>
  <si>
    <t>Solder Bridge ON</t>
  </si>
  <si>
    <t>10K</t>
  </si>
  <si>
    <t>Resistor</t>
  </si>
  <si>
    <t>Connector</t>
  </si>
  <si>
    <t>Digikey</t>
  </si>
  <si>
    <t>---</t>
  </si>
  <si>
    <t>YAGEO</t>
  </si>
  <si>
    <t>-------</t>
  </si>
  <si>
    <t>R5</t>
  </si>
  <si>
    <t>1M</t>
  </si>
  <si>
    <t>4.7K</t>
  </si>
  <si>
    <t>U1</t>
  </si>
  <si>
    <t>U4</t>
  </si>
  <si>
    <t>U5</t>
  </si>
  <si>
    <t>U6</t>
  </si>
  <si>
    <t>U7</t>
  </si>
  <si>
    <t>U8</t>
  </si>
  <si>
    <t>Solder Bridge</t>
  </si>
  <si>
    <t>J1</t>
  </si>
  <si>
    <t>J2</t>
  </si>
  <si>
    <t>J3</t>
  </si>
  <si>
    <t>J4</t>
  </si>
  <si>
    <t>IC</t>
  </si>
  <si>
    <t>Crystal</t>
  </si>
  <si>
    <t>--------</t>
  </si>
  <si>
    <t>Custom</t>
  </si>
  <si>
    <t>1uF</t>
  </si>
  <si>
    <t>0.1uF</t>
  </si>
  <si>
    <t>Texas Instruments</t>
  </si>
  <si>
    <t>SOIC-8</t>
  </si>
  <si>
    <t>UMW</t>
  </si>
  <si>
    <t>CAP ALUM 6.8UF 20% 25V SMD</t>
  </si>
  <si>
    <t>C1</t>
  </si>
  <si>
    <t>EEEHB1E6R8R</t>
  </si>
  <si>
    <t>CAP ALUM 10uF 25V SMD</t>
  </si>
  <si>
    <t>C2</t>
  </si>
  <si>
    <t>RVT1E100M0405</t>
  </si>
  <si>
    <t>CAP CER 0.1UF 16V X7R 0402</t>
  </si>
  <si>
    <t>C6, C10, C11, C12, C13, C14, C15, C18, C21, C24, C29, C30, CF2</t>
  </si>
  <si>
    <t>Cap 0402</t>
  </si>
  <si>
    <t>CC0402KRX7R7BB104</t>
  </si>
  <si>
    <t>CAP CER 22UF 25V X5R 0805</t>
  </si>
  <si>
    <t>C7, CE1</t>
  </si>
  <si>
    <t>Cap0805</t>
  </si>
  <si>
    <t>GRM21BR61E226ME44L</t>
  </si>
  <si>
    <t>1uF 10V ±20% 0805 Tantalum Capacitors ROHS</t>
  </si>
  <si>
    <t>C8, C19</t>
  </si>
  <si>
    <t>TCP1A105M8R</t>
  </si>
  <si>
    <t>CAP CER 25PF 50V C0G/NPO 0603</t>
  </si>
  <si>
    <t>C9</t>
  </si>
  <si>
    <t>Cap 0603</t>
  </si>
  <si>
    <t>CC0603JRNPO9BN250</t>
  </si>
  <si>
    <t>CAP CER 20PF 25V C0H 0201</t>
  </si>
  <si>
    <t>C16, C17, CX1, CX2</t>
  </si>
  <si>
    <t>Cap 0201</t>
  </si>
  <si>
    <t>GJM0336C1E200JB01D</t>
  </si>
  <si>
    <t>CAP CER 0.022UF 100V X7R 0603</t>
  </si>
  <si>
    <t>C20</t>
  </si>
  <si>
    <t>CGA3E2X7R2A223K080AA</t>
  </si>
  <si>
    <t>C22, C25, C27, C35</t>
  </si>
  <si>
    <t>CL10B104KB8NNNC</t>
  </si>
  <si>
    <t>CAP TANT 4.7UF 10% 35V 1411</t>
  </si>
  <si>
    <t>C23</t>
  </si>
  <si>
    <t>TAJB475K035RNJ</t>
  </si>
  <si>
    <t>CAP ALUM 100UF 20% 25V SMD</t>
  </si>
  <si>
    <t>C26</t>
  </si>
  <si>
    <t>UWX1E101MCL1GB</t>
  </si>
  <si>
    <t>CAP CER 1UF 25V X5R 0402</t>
  </si>
  <si>
    <t>C28, C32</t>
  </si>
  <si>
    <t>GRM155R61E105KA12D</t>
  </si>
  <si>
    <t>CAP CER 4.7UF 25V X5R 0603</t>
  </si>
  <si>
    <t>C31, C34</t>
  </si>
  <si>
    <t>CL10A475KA8NQNC</t>
  </si>
  <si>
    <t>CAP CER 2.2UF 16V X5R 0402</t>
  </si>
  <si>
    <t>C33, CR1</t>
  </si>
  <si>
    <t>EMK105ABJ225KV-F</t>
  </si>
  <si>
    <t>CAP TANT 0.33 uF 20 V ±20% 0402</t>
  </si>
  <si>
    <t>C50</t>
  </si>
  <si>
    <t>TCTU1D334M8R</t>
  </si>
  <si>
    <t>CAP CER 220PF 50V C0G/NPO 0402</t>
  </si>
  <si>
    <t>CF1</t>
  </si>
  <si>
    <t>CC0402JRNPO9BN221</t>
  </si>
  <si>
    <t>Panasonic</t>
  </si>
  <si>
    <t>ROQANG</t>
  </si>
  <si>
    <t>Yageo</t>
  </si>
  <si>
    <t>Murata</t>
  </si>
  <si>
    <t>ROHM</t>
  </si>
  <si>
    <t>TDK</t>
  </si>
  <si>
    <t>Samsung</t>
  </si>
  <si>
    <t>Kyocera AVX</t>
  </si>
  <si>
    <t>Nichicon</t>
  </si>
  <si>
    <t>Taiyo Yuden</t>
  </si>
  <si>
    <t>Rohm</t>
  </si>
  <si>
    <t>6.8uF</t>
  </si>
  <si>
    <t>10uF</t>
  </si>
  <si>
    <t>22uF</t>
  </si>
  <si>
    <t>1UF</t>
  </si>
  <si>
    <t>25pF</t>
  </si>
  <si>
    <t>20pF</t>
  </si>
  <si>
    <t>22nF</t>
  </si>
  <si>
    <t>4.7UF</t>
  </si>
  <si>
    <t>100uF</t>
  </si>
  <si>
    <t>4.7uF</t>
  </si>
  <si>
    <t>2.2uF</t>
  </si>
  <si>
    <t>330nF</t>
  </si>
  <si>
    <t>220pF</t>
  </si>
  <si>
    <t>DIODE SCHOTTKY 30V 1A SOD123W</t>
  </si>
  <si>
    <t>D1, D2, D3</t>
  </si>
  <si>
    <t>SOD123W</t>
  </si>
  <si>
    <t>PMEG3010ER,115</t>
  </si>
  <si>
    <t>Red 625nm 0402 Light Emitting Diodes (LED) RoHS</t>
  </si>
  <si>
    <t>LED1, LED2</t>
  </si>
  <si>
    <t>LED 0402</t>
  </si>
  <si>
    <t>TJ-S1005SW4TGLC2R-A5</t>
  </si>
  <si>
    <t>Q1</t>
  </si>
  <si>
    <t>SOT23-3</t>
  </si>
  <si>
    <t>FDN338P</t>
  </si>
  <si>
    <t>MOSFET P-CH 20V 2.8A SOT-23</t>
  </si>
  <si>
    <t>Q2</t>
  </si>
  <si>
    <t>PMV65XP,215</t>
  </si>
  <si>
    <t>MOSFET N-CH 100V .1A SOT23-3</t>
  </si>
  <si>
    <t>Q3</t>
  </si>
  <si>
    <t>ZVN3310FTA</t>
  </si>
  <si>
    <t>SOT-23 MOSFETs ROHS</t>
  </si>
  <si>
    <t>Q4</t>
  </si>
  <si>
    <t>FDN335N</t>
  </si>
  <si>
    <t>TRANS PNP 60V 3A SOT223</t>
  </si>
  <si>
    <t>QF1</t>
  </si>
  <si>
    <t>NZT660A</t>
  </si>
  <si>
    <t>SPDT 5A 120V On-On DIP Toggle Switches RoHS</t>
  </si>
  <si>
    <t>S1</t>
  </si>
  <si>
    <t>SS-12D11L5</t>
  </si>
  <si>
    <t>SWITCH TACTILE SPST-NO 0.05A 12V</t>
  </si>
  <si>
    <t>SW1</t>
  </si>
  <si>
    <t>B3U-1000P</t>
  </si>
  <si>
    <t>10uH ±20% 1.6A 230mΩ SMD,4.75x4.2x2mm Inductors (SMD) RoHS</t>
  </si>
  <si>
    <t>LZ1</t>
  </si>
  <si>
    <t>MS0420-100M</t>
  </si>
  <si>
    <t>CRYSTAL 32.7680KHZ 12.5PF SMD</t>
  </si>
  <si>
    <t>X1, X2</t>
  </si>
  <si>
    <t>NX3215SA-32.768K-STD-MUA-8</t>
  </si>
  <si>
    <t>Nexperia</t>
  </si>
  <si>
    <t>TOGIALED</t>
  </si>
  <si>
    <t>Diodes Zetex</t>
  </si>
  <si>
    <t>ON Semiconductor / Fairchild</t>
  </si>
  <si>
    <t>XKB Enterprise</t>
  </si>
  <si>
    <t>Omron</t>
  </si>
  <si>
    <t>COILMX</t>
  </si>
  <si>
    <t>NDK</t>
  </si>
  <si>
    <t>Diode</t>
  </si>
  <si>
    <t>Mosfet</t>
  </si>
  <si>
    <t>Switch</t>
  </si>
  <si>
    <t>LED</t>
  </si>
  <si>
    <t>R1</t>
  </si>
  <si>
    <t>RTT02471JTH</t>
  </si>
  <si>
    <t>RES SMD 1.5K OHM 1% 1/20W 0201</t>
  </si>
  <si>
    <t>R2</t>
  </si>
  <si>
    <t>Res-0201</t>
  </si>
  <si>
    <t>RMCF0201FT1K50</t>
  </si>
  <si>
    <t>RES SMD 20K OHM 5% 1/16W 0402</t>
  </si>
  <si>
    <t>R3, R4, R8, R9, R10, R20, RP2</t>
  </si>
  <si>
    <t>RC0402JR-0720KL</t>
  </si>
  <si>
    <t>RES SMD 2K OHM 1% 1/16W 0402</t>
  </si>
  <si>
    <t>RC0402FR-072KL</t>
  </si>
  <si>
    <t>RES SMD 80.6K OHM 1% 1/16W 0402</t>
  </si>
  <si>
    <t>R6</t>
  </si>
  <si>
    <t>AC0402FR-0780K6L</t>
  </si>
  <si>
    <t>RES SMD 30.9K OHM 1% 1/16W 0402</t>
  </si>
  <si>
    <t>R7</t>
  </si>
  <si>
    <t>AC0402FR-0730K9L</t>
  </si>
  <si>
    <t>RES 10K OHM 5% 1/10W 0402</t>
  </si>
  <si>
    <t>R11, R12, R15, R16, R17</t>
  </si>
  <si>
    <t>RK73B1ETTP103J</t>
  </si>
  <si>
    <t>RES SMD 133K OHM 1% 1/16W 0402</t>
  </si>
  <si>
    <t>R13</t>
  </si>
  <si>
    <t>RC0402FR-07133KL</t>
  </si>
  <si>
    <t>RES 49.9K OHM 1% 1/10W 0402</t>
  </si>
  <si>
    <t>R14</t>
  </si>
  <si>
    <t>RK73H1ETTP4992F</t>
  </si>
  <si>
    <t>RES SMD 0 OHM JUMPER 1/16W 0402</t>
  </si>
  <si>
    <t>R18, R19, RF22, RF23</t>
  </si>
  <si>
    <t>RC0402JR-070RL</t>
  </si>
  <si>
    <t>R21, R22, R27</t>
  </si>
  <si>
    <t>CR0402JF0472G</t>
  </si>
  <si>
    <t>R23</t>
  </si>
  <si>
    <t>Res0603</t>
  </si>
  <si>
    <t>0603WAF9103T5E</t>
  </si>
  <si>
    <t>RES SMD 47K OHM 1% 1/16W 0402</t>
  </si>
  <si>
    <t>R24, R25, RZ1</t>
  </si>
  <si>
    <t>RC0402FR-0747KL</t>
  </si>
  <si>
    <t>RES SMD 1K OHM 5% 1/10W 0402</t>
  </si>
  <si>
    <t>R26, RF2</t>
  </si>
  <si>
    <t>ERJ-2GEJ102X</t>
  </si>
  <si>
    <t>RF1</t>
  </si>
  <si>
    <t>RES 0805</t>
  </si>
  <si>
    <t>0805W4F680MT5E</t>
  </si>
  <si>
    <t>RES SMD 1M OHM 1% 1/16W 0402</t>
  </si>
  <si>
    <t>RF3, RF4</t>
  </si>
  <si>
    <t>RC0402FR-071ML</t>
  </si>
  <si>
    <t>RES SMD 118K OHM 1% 1/16W 0402</t>
  </si>
  <si>
    <t>RF5</t>
  </si>
  <si>
    <t>AC0402FR-07118KL</t>
  </si>
  <si>
    <t>RES SMD 13.3K OHM 1% 1/16W 0402</t>
  </si>
  <si>
    <t>RF6</t>
  </si>
  <si>
    <t>RC0402FR-0713K3L</t>
  </si>
  <si>
    <t>RES SMD 60.4K OHM 1% 1/16W 0402</t>
  </si>
  <si>
    <t>RP1</t>
  </si>
  <si>
    <t>RC0402FR-0760K4L</t>
  </si>
  <si>
    <t>RES SMD 62K OHM 1% 1/16W 0402</t>
  </si>
  <si>
    <t>RP3</t>
  </si>
  <si>
    <t>AC0402FR-0762KL</t>
  </si>
  <si>
    <t>RP4</t>
  </si>
  <si>
    <t>RTT024022FTH</t>
  </si>
  <si>
    <t>RALEC</t>
  </si>
  <si>
    <t>470R</t>
  </si>
  <si>
    <t>Stackpole Electronics</t>
  </si>
  <si>
    <t>1.5K</t>
  </si>
  <si>
    <t>20K</t>
  </si>
  <si>
    <t>2K</t>
  </si>
  <si>
    <t>80.6K</t>
  </si>
  <si>
    <t>30.9K</t>
  </si>
  <si>
    <t>KOA Speer</t>
  </si>
  <si>
    <t>133K</t>
  </si>
  <si>
    <t>49.9K</t>
  </si>
  <si>
    <t>0R</t>
  </si>
  <si>
    <t>LIZ Elec</t>
  </si>
  <si>
    <t>UNI-ROYAL</t>
  </si>
  <si>
    <t>910K</t>
  </si>
  <si>
    <t>47K</t>
  </si>
  <si>
    <t>1K</t>
  </si>
  <si>
    <t>UNI-ROYAL(Uniroyal Elec)</t>
  </si>
  <si>
    <t>0.068R</t>
  </si>
  <si>
    <t>118K</t>
  </si>
  <si>
    <t>13.3K</t>
  </si>
  <si>
    <t>60.4K</t>
  </si>
  <si>
    <t>62K</t>
  </si>
  <si>
    <t>40.2K</t>
  </si>
  <si>
    <t>Inductor</t>
  </si>
  <si>
    <t>IC REG LDO 3.3V 1A SOT223</t>
  </si>
  <si>
    <t>SPX3940AM3-L-3-3/TR</t>
  </si>
  <si>
    <t>TVS DIODE 5V 6.8V 6UDFN</t>
  </si>
  <si>
    <t>U2</t>
  </si>
  <si>
    <t>SP3014-02UTG</t>
  </si>
  <si>
    <t>IC VREF SHUNT 18V 0.5% SOT23</t>
  </si>
  <si>
    <t>U3</t>
  </si>
  <si>
    <t>TLV431BFTA</t>
  </si>
  <si>
    <t>IC COMPARATOR LP DUAL 8-SOIC</t>
  </si>
  <si>
    <t>LM393DT</t>
  </si>
  <si>
    <t>IC MCU 32BIT 256KB FLASH 48TQFP</t>
  </si>
  <si>
    <t>SAMD21G18A-AUT</t>
  </si>
  <si>
    <t>IC AMP CLASS AB MONO 1W 8SOIC</t>
  </si>
  <si>
    <t>LM4890MX/NOPB</t>
  </si>
  <si>
    <t>IC MOTOR DRIVER DC 5.5V 16HTSSOP</t>
  </si>
  <si>
    <t>16HTSSOP</t>
  </si>
  <si>
    <t>DRV8876PWPR</t>
  </si>
  <si>
    <t>IC RTC CLK/CALENDAR I2C 8-SOIC</t>
  </si>
  <si>
    <t>MCP7940N-I/SN</t>
  </si>
  <si>
    <t>IC LI-ION LDO CHARGE MGMT 8SOIC</t>
  </si>
  <si>
    <t>UF1</t>
  </si>
  <si>
    <t>BQ2057WSNTR</t>
  </si>
  <si>
    <t>IC REG BOOST ADJ 2A SOT23-5</t>
  </si>
  <si>
    <t>UF2</t>
  </si>
  <si>
    <t>SOT23-5</t>
  </si>
  <si>
    <t>LMR62014XMF/NOPB</t>
  </si>
  <si>
    <t>Exar</t>
  </si>
  <si>
    <t>Littelfuse</t>
  </si>
  <si>
    <t>STMicroelectronics</t>
  </si>
  <si>
    <t>Microchip</t>
  </si>
  <si>
    <t>TI National Semiconductor</t>
  </si>
  <si>
    <t>FPC Connector 0.5mm pitch 24pin 30pin TOP&amp;bottom conduction Zif Smt Lcd/epaper Fpc Ffc Connector</t>
  </si>
  <si>
    <t>8.02A0.024200</t>
  </si>
  <si>
    <t>DC Power Receptacle Jack 2.5A 2.5mm 6.5mm SMD Power Connectors RoHS</t>
  </si>
  <si>
    <t>DC-005-5A-2.5-SMT</t>
  </si>
  <si>
    <t>USB - Micro B Female USB 2 5 SMD USB Connectors RoHS</t>
  </si>
  <si>
    <t>C10418</t>
  </si>
  <si>
    <t>CONN HEADER SMD 10POS 1.27MM</t>
  </si>
  <si>
    <t>20021121-00010C4LF</t>
  </si>
  <si>
    <t>CBL PLUG-OF-NAILS 10-PIN W/LEGS</t>
  </si>
  <si>
    <t>J5</t>
  </si>
  <si>
    <t>TC2050-IDC</t>
  </si>
  <si>
    <t>SMD Battery Holders, Clips &amp; Contacts RoHS</t>
  </si>
  <si>
    <t>J6</t>
  </si>
  <si>
    <t>CR1220-2</t>
  </si>
  <si>
    <t>P=5.0mm Screw terminal RoHS</t>
  </si>
  <si>
    <t>J7</t>
  </si>
  <si>
    <t>WJ301V-5.0-3P</t>
  </si>
  <si>
    <t>J8, J#1</t>
  </si>
  <si>
    <t>WJ301V-5.0-2P</t>
  </si>
  <si>
    <t>Wire Connecting Pad</t>
  </si>
  <si>
    <t>P1</t>
  </si>
  <si>
    <t>SMD PAD</t>
  </si>
  <si>
    <t>Test Point ON</t>
  </si>
  <si>
    <t>P2, P12, P13, P14, P15, P16</t>
  </si>
  <si>
    <t>TEST POINT</t>
  </si>
  <si>
    <t>2 PIN JST Connector</t>
  </si>
  <si>
    <t>P17</t>
  </si>
  <si>
    <t>2 Pin JST Connector</t>
  </si>
  <si>
    <t>SB2, SB3, SB14, SB15, SB16, SB17, SB18, SB19, SB20, SB_ZD1</t>
  </si>
  <si>
    <t>Amphenol FCI</t>
  </si>
  <si>
    <t>Tag-Connect</t>
  </si>
  <si>
    <t>Q&amp;J</t>
  </si>
  <si>
    <t>Ningbo Kangnex Elec</t>
  </si>
  <si>
    <t>Quantity 5</t>
  </si>
  <si>
    <t>Quantity 50</t>
  </si>
  <si>
    <t>Quantity 100</t>
  </si>
  <si>
    <t>Unit Cost(5)</t>
  </si>
  <si>
    <t>Total Cost(5)</t>
  </si>
  <si>
    <t>Unit Cost(50)</t>
  </si>
  <si>
    <t>Total Cost (50)</t>
  </si>
  <si>
    <t>Unit Cost(100)</t>
  </si>
  <si>
    <t>Total Cost (100)</t>
  </si>
  <si>
    <t>CC0201JRNPO8BN200</t>
  </si>
  <si>
    <t xml:space="preserve">B Case </t>
  </si>
  <si>
    <t>Mouser</t>
  </si>
  <si>
    <t>Arrow</t>
  </si>
  <si>
    <t>------</t>
  </si>
  <si>
    <t>ESR01MZPJ103</t>
  </si>
  <si>
    <t>RMCF0402FT49K9</t>
  </si>
  <si>
    <t xml:space="preserve">RC0402FR-070RL
</t>
  </si>
  <si>
    <t xml:space="preserve">RC0402JR-071KL
</t>
  </si>
  <si>
    <t xml:space="preserve">8-SOIC
</t>
  </si>
  <si>
    <t xml:space="preserve">LMR62014XMFE/NOPB
</t>
  </si>
  <si>
    <t>SOT223</t>
  </si>
  <si>
    <t>6UDFN</t>
  </si>
  <si>
    <t>48TQFP</t>
  </si>
  <si>
    <t>RMCF0402JT470R</t>
  </si>
  <si>
    <t xml:space="preserve">ERJ-2GEJ472X
</t>
  </si>
  <si>
    <t xml:space="preserve">RES SMD 4.7K OHM 5% 1/10W 0402
</t>
  </si>
  <si>
    <t>RMCF0603FT910K</t>
  </si>
  <si>
    <t xml:space="preserve">RES 910K OHM 1% 1/10W 0603
</t>
  </si>
  <si>
    <t xml:space="preserve">RES 0.068 OHM 1% 1/4W 0805
</t>
  </si>
  <si>
    <t>KDV08FR068ET</t>
  </si>
  <si>
    <t>RMCF0402JT1M00</t>
  </si>
  <si>
    <t xml:space="preserve">ERJ-2RKF4022X
</t>
  </si>
  <si>
    <t xml:space="preserve">RES SMD 40.2K OHM 1% 1/10W 0402
</t>
  </si>
  <si>
    <t>Bill of Material (BOM) for Grant</t>
  </si>
  <si>
    <t xml:space="preserve">CAP CER 0.1UF 50V X7R 0603
</t>
  </si>
  <si>
    <t xml:space="preserve">VLMS1500-GS08
</t>
  </si>
  <si>
    <t xml:space="preserve">MOSFET P-CH 20V 1.6A SUPERSOT3
</t>
  </si>
  <si>
    <t>25SEV10M4X5.5</t>
  </si>
  <si>
    <t xml:space="preserve">Alternate part ki Specs Same han footprint change ha </t>
  </si>
  <si>
    <t>BMRA00040420100MA1</t>
  </si>
  <si>
    <t xml:space="preserve">Alternate part ki Specs Change han footprint change ha </t>
  </si>
  <si>
    <t>Out of Stock</t>
  </si>
  <si>
    <t xml:space="preserve">2538-B24G00DBT
</t>
  </si>
  <si>
    <t xml:space="preserve">DCJ250-05-A-K1-A
</t>
  </si>
  <si>
    <t xml:space="preserve">MCR-B-S-RA-SMT-CS5A-NF-T/R
</t>
  </si>
  <si>
    <t>Jing Extension of the Electronic</t>
  </si>
  <si>
    <t>CH25</t>
  </si>
  <si>
    <t>MS12ASG30</t>
  </si>
  <si>
    <t xml:space="preserve">RES 470 OHM 5% 1/16W 0402
</t>
  </si>
  <si>
    <t xml:space="preserve">B2B-XH-A(LF)(SN)
</t>
  </si>
  <si>
    <t xml:space="preserve">Do NOT 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</si>
</sst>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0"/>
    <numFmt numFmtId="165" formatCode="&quot;$&quot;#,##0.00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4">
    <xf numFmtId="0" fontId="0" fillId="0" borderId="0" xfId="0"/>
    <xf numFmtId="0" fontId="0" fillId="0" borderId="0" xfId="0" applyFont="1"/>
    <xf numFmtId="165" fontId="0" fillId="0" borderId="0" xfId="0" applyNumberFormat="1"/>
    <xf numFmtId="165" fontId="4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quotePrefix="1" applyFont="1" applyBorder="1" applyAlignment="1">
      <alignment horizontal="center" vertical="center"/>
    </xf>
    <xf numFmtId="0" fontId="4" fillId="0" borderId="9" xfId="0" quotePrefix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165" fontId="6" fillId="0" borderId="0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0" borderId="12" xfId="0" quotePrefix="1" applyFont="1" applyBorder="1" applyAlignment="1">
      <alignment horizontal="center" vertical="center" wrapText="1"/>
    </xf>
    <xf numFmtId="0" fontId="4" fillId="0" borderId="12" xfId="0" quotePrefix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4" fillId="0" borderId="11" xfId="0" quotePrefix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4" fillId="0" borderId="14" xfId="0" applyNumberFormat="1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 wrapText="1"/>
    </xf>
    <xf numFmtId="0" fontId="0" fillId="0" borderId="0" xfId="0" applyAlignment="1"/>
    <xf numFmtId="0" fontId="4" fillId="0" borderId="16" xfId="0" quotePrefix="1" applyFont="1" applyBorder="1" applyAlignment="1">
      <alignment vertical="center" wrapText="1"/>
    </xf>
    <xf numFmtId="0" fontId="7" fillId="0" borderId="12" xfId="0" quotePrefix="1" applyFont="1" applyBorder="1" applyAlignment="1">
      <alignment horizontal="center" vertical="center"/>
    </xf>
    <xf numFmtId="0" fontId="0" fillId="0" borderId="0" xfId="0" applyFont="1" applyAlignment="1"/>
    <xf numFmtId="0" fontId="4" fillId="0" borderId="12" xfId="0" applyFont="1" applyBorder="1" applyAlignment="1">
      <alignment horizontal="center"/>
    </xf>
    <xf numFmtId="0" fontId="4" fillId="0" borderId="21" xfId="0" applyFont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vertical="center" wrapText="1"/>
    </xf>
    <xf numFmtId="0" fontId="4" fillId="0" borderId="9" xfId="0" quotePrefix="1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0" fontId="4" fillId="0" borderId="25" xfId="0" quotePrefix="1" applyFont="1" applyBorder="1" applyAlignment="1">
      <alignment horizontal="center" vertical="center"/>
    </xf>
    <xf numFmtId="164" fontId="4" fillId="0" borderId="25" xfId="0" applyNumberFormat="1" applyFont="1" applyBorder="1" applyAlignment="1">
      <alignment horizontal="center" vertical="center"/>
    </xf>
    <xf numFmtId="0" fontId="4" fillId="0" borderId="27" xfId="0" quotePrefix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28" xfId="0" quotePrefix="1" applyFont="1" applyBorder="1" applyAlignment="1">
      <alignment horizontal="center" vertical="center"/>
    </xf>
    <xf numFmtId="0" fontId="7" fillId="0" borderId="9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165" fontId="4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5" fontId="11" fillId="0" borderId="12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/>
    </xf>
    <xf numFmtId="165" fontId="11" fillId="0" borderId="9" xfId="0" applyNumberFormat="1" applyFont="1" applyFill="1" applyBorder="1" applyAlignment="1">
      <alignment horizontal="center" vertical="center" wrapText="1"/>
    </xf>
    <xf numFmtId="0" fontId="8" fillId="0" borderId="21" xfId="0" quotePrefix="1" applyFont="1" applyBorder="1" applyAlignment="1">
      <alignment horizontal="center" vertical="center" wrapText="1"/>
    </xf>
    <xf numFmtId="164" fontId="4" fillId="0" borderId="19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/>
    </xf>
    <xf numFmtId="164" fontId="4" fillId="0" borderId="31" xfId="0" applyNumberFormat="1" applyFont="1" applyBorder="1" applyAlignment="1">
      <alignment horizontal="center" vertical="center" wrapText="1"/>
    </xf>
    <xf numFmtId="164" fontId="4" fillId="0" borderId="32" xfId="0" applyNumberFormat="1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164" fontId="4" fillId="0" borderId="33" xfId="0" applyNumberFormat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64" fontId="4" fillId="0" borderId="28" xfId="0" applyNumberFormat="1" applyFont="1" applyBorder="1" applyAlignment="1">
      <alignment horizontal="center" vertical="center"/>
    </xf>
    <xf numFmtId="164" fontId="4" fillId="0" borderId="2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13" fillId="0" borderId="23" xfId="0" applyFont="1" applyFill="1" applyBorder="1" applyAlignment="1">
      <alignment horizontal="center" vertical="center" wrapText="1"/>
    </xf>
    <xf numFmtId="0" fontId="4" fillId="0" borderId="16" xfId="0" quotePrefix="1" applyFont="1" applyBorder="1" applyAlignment="1">
      <alignment vertical="center"/>
    </xf>
    <xf numFmtId="0" fontId="13" fillId="0" borderId="21" xfId="0" applyFont="1" applyFill="1" applyBorder="1" applyAlignment="1">
      <alignment horizontal="center" vertical="center"/>
    </xf>
    <xf numFmtId="0" fontId="4" fillId="0" borderId="21" xfId="0" applyFont="1" applyBorder="1" applyAlignment="1"/>
    <xf numFmtId="0" fontId="4" fillId="0" borderId="21" xfId="0" applyFont="1" applyBorder="1"/>
    <xf numFmtId="0" fontId="4" fillId="0" borderId="30" xfId="0" quotePrefix="1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22" xfId="0" applyFont="1" applyBorder="1"/>
    <xf numFmtId="0" fontId="4" fillId="0" borderId="34" xfId="0" quotePrefix="1" applyFont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35" xfId="0" applyFont="1" applyBorder="1"/>
    <xf numFmtId="0" fontId="4" fillId="0" borderId="25" xfId="0" applyFont="1" applyBorder="1" applyAlignment="1">
      <alignment horizontal="center" vertical="center"/>
    </xf>
    <xf numFmtId="0" fontId="4" fillId="0" borderId="23" xfId="0" applyFont="1" applyBorder="1"/>
    <xf numFmtId="0" fontId="4" fillId="0" borderId="29" xfId="0" quotePrefix="1" applyFont="1" applyBorder="1" applyAlignment="1">
      <alignment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5" xfId="0" quotePrefix="1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12" xfId="1" applyFont="1" applyBorder="1" applyAlignment="1">
      <alignment horizontal="center"/>
    </xf>
    <xf numFmtId="0" fontId="10" fillId="0" borderId="5" xfId="1" applyFont="1" applyBorder="1" applyAlignment="1">
      <alignment horizontal="center"/>
    </xf>
    <xf numFmtId="0" fontId="10" fillId="0" borderId="9" xfId="1" applyFont="1" applyBorder="1" applyAlignment="1">
      <alignment horizontal="center" wrapText="1"/>
    </xf>
    <xf numFmtId="0" fontId="10" fillId="0" borderId="12" xfId="1" quotePrefix="1" applyFont="1" applyBorder="1" applyAlignment="1">
      <alignment horizontal="center"/>
    </xf>
    <xf numFmtId="0" fontId="10" fillId="0" borderId="12" xfId="1" quotePrefix="1" applyFont="1" applyBorder="1" applyAlignment="1">
      <alignment horizontal="center" wrapText="1"/>
    </xf>
    <xf numFmtId="0" fontId="10" fillId="0" borderId="28" xfId="1" applyFont="1" applyBorder="1" applyAlignment="1">
      <alignment horizontal="center"/>
    </xf>
    <xf numFmtId="0" fontId="10" fillId="0" borderId="9" xfId="1" applyFont="1" applyBorder="1" applyAlignment="1">
      <alignment horizontal="center"/>
    </xf>
    <xf numFmtId="0" fontId="10" fillId="0" borderId="5" xfId="1" applyFont="1" applyBorder="1" applyAlignment="1">
      <alignment horizont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4" fillId="0" borderId="24" xfId="0" quotePrefix="1" applyFont="1" applyBorder="1" applyAlignment="1">
      <alignment vertical="center"/>
    </xf>
    <xf numFmtId="164" fontId="4" fillId="0" borderId="26" xfId="0" applyNumberFormat="1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/>
    </xf>
    <xf numFmtId="0" fontId="10" fillId="0" borderId="25" xfId="1" applyFont="1" applyBorder="1" applyAlignment="1">
      <alignment horizontal="center"/>
    </xf>
    <xf numFmtId="0" fontId="10" fillId="0" borderId="11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4" fillId="0" borderId="9" xfId="0" applyFont="1" applyBorder="1" applyAlignment="1">
      <alignment horizontal="center" wrapText="1"/>
    </xf>
    <xf numFmtId="0" fontId="7" fillId="0" borderId="16" xfId="0" quotePrefix="1" applyFont="1" applyBorder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7" fillId="0" borderId="30" xfId="0" quotePrefix="1" applyFont="1" applyBorder="1" applyAlignment="1">
      <alignment vertical="center"/>
    </xf>
    <xf numFmtId="0" fontId="7" fillId="0" borderId="5" xfId="0" quotePrefix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7" fillId="0" borderId="12" xfId="0" applyFont="1" applyBorder="1"/>
    <xf numFmtId="0" fontId="7" fillId="0" borderId="12" xfId="0" applyFont="1" applyBorder="1" applyAlignment="1">
      <alignment horizontal="center" vertical="center" wrapText="1"/>
    </xf>
    <xf numFmtId="0" fontId="4" fillId="0" borderId="36" xfId="0" applyFont="1" applyBorder="1" applyAlignment="1"/>
    <xf numFmtId="0" fontId="4" fillId="0" borderId="37" xfId="0" applyFont="1" applyBorder="1"/>
    <xf numFmtId="0" fontId="14" fillId="0" borderId="23" xfId="0" applyFont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4" fillId="0" borderId="17" xfId="0" quotePrefix="1" applyFont="1" applyBorder="1" applyAlignment="1">
      <alignment horizontal="left" vertical="center"/>
    </xf>
    <xf numFmtId="0" fontId="14" fillId="0" borderId="22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164" fontId="4" fillId="0" borderId="25" xfId="0" applyNumberFormat="1" applyFont="1" applyBorder="1" applyAlignment="1">
      <alignment horizontal="center" vertical="center" wrapText="1"/>
    </xf>
    <xf numFmtId="164" fontId="4" fillId="0" borderId="26" xfId="0" applyNumberFormat="1" applyFont="1" applyBorder="1" applyAlignment="1">
      <alignment horizontal="center" vertical="center" wrapText="1"/>
    </xf>
    <xf numFmtId="0" fontId="4" fillId="0" borderId="36" xfId="0" applyFont="1" applyBorder="1"/>
    <xf numFmtId="0" fontId="4" fillId="0" borderId="38" xfId="0" quotePrefix="1" applyFont="1" applyBorder="1" applyAlignment="1">
      <alignment vertical="center" wrapText="1"/>
    </xf>
    <xf numFmtId="0" fontId="7" fillId="0" borderId="28" xfId="0" quotePrefix="1" applyFont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/>
    </xf>
    <xf numFmtId="164" fontId="4" fillId="0" borderId="39" xfId="0" applyNumberFormat="1" applyFont="1" applyBorder="1" applyAlignment="1">
      <alignment horizontal="center" vertical="center" wrapText="1"/>
    </xf>
    <xf numFmtId="0" fontId="15" fillId="0" borderId="35" xfId="0" applyFont="1" applyFill="1" applyBorder="1" applyAlignment="1">
      <alignment horizontal="center" vertical="center"/>
    </xf>
    <xf numFmtId="0" fontId="10" fillId="0" borderId="1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stackpole-electronics-inc/RMCF0402FT49K9/1942927" TargetMode="External"/><Relationship Id="rId21" Type="http://schemas.openxmlformats.org/officeDocument/2006/relationships/hyperlink" Target="https://www.digikey.com/en/products/detail/yageo/RC0402FR-072KL/2827565?s=N4IgTCBcDaIEoGEAMAWJYBicC0SDsYA0gDIgC6AvkA" TargetMode="External"/><Relationship Id="rId34" Type="http://schemas.openxmlformats.org/officeDocument/2006/relationships/hyperlink" Target="https://www.digikey.com/en/products/detail/stmicroelectronics/LM393DT/591695" TargetMode="External"/><Relationship Id="rId42" Type="http://schemas.openxmlformats.org/officeDocument/2006/relationships/hyperlink" Target="https://www.digikey.com/en/products/detail/ohmite/KDV08FR068ET/10476504" TargetMode="External"/><Relationship Id="rId47" Type="http://schemas.openxmlformats.org/officeDocument/2006/relationships/hyperlink" Target="https://www.digikey.com/en/products/detail/nexperia-usa-inc/PMV65XP-215/949643" TargetMode="External"/><Relationship Id="rId50" Type="http://schemas.openxmlformats.org/officeDocument/2006/relationships/hyperlink" Target="https://www.digikey.com/en/products/detail/ndk-america-inc/NX3215SA-32-768K-STD-MUA-8/2261469?s=N4IgTCBcDaIHIA0DMYCMBWAygQQLQoDoB2ANgA4BpXTAFQBFcBZAVTzJAF0BfIA" TargetMode="External"/><Relationship Id="rId55" Type="http://schemas.openxmlformats.org/officeDocument/2006/relationships/hyperlink" Target="https://www.digikey.com/en/products/detail/chilisin-electronics/BMRA00040420100MA1/12141016?s=N4IgjCBcoCwGxVAYygMwIYBsDOBTANCAPZQDaIMArAMwAcA7DCALqEAOALlCAMocBOASwB2AcxABfQmACctGYhApIGHAWJkQABhbsukXgJHipIAExaGiztwCqwwRwDyqALK502AK79cIQl7cAK0AEv4gALYi3GA6hBHoAB4xOqYWtLTW%2BiD2ji7unj5%2BAdwAguFRwjEAdAjxSTUIpgC0lIrKqniEJJDkZiwSaZoAksIAJl5IHET8A0A" TargetMode="External"/><Relationship Id="rId63" Type="http://schemas.openxmlformats.org/officeDocument/2006/relationships/hyperlink" Target="https://www.digikey.com/en/products/detail/premium-batteries/CH25/13896129" TargetMode="External"/><Relationship Id="rId7" Type="http://schemas.openxmlformats.org/officeDocument/2006/relationships/hyperlink" Target="https://www.digikey.com/en/products/detail/tdk-corporation/CGA3E2X7R2A223K080AA/2443292?s=N4IgTCBcDaIMIHECCBmAomAGgdgEpiTDBQGkAGADjKSRAF0BfIA" TargetMode="External"/><Relationship Id="rId2" Type="http://schemas.openxmlformats.org/officeDocument/2006/relationships/hyperlink" Target="https://www.digikey.com/en/products/detail/yageo/CC0402KRX7R7BB104/2103076?s=N4IgTCBcDaIMJwAwBZFgNICUAaB2TuAQoQIwogC6AvkA" TargetMode="External"/><Relationship Id="rId16" Type="http://schemas.openxmlformats.org/officeDocument/2006/relationships/hyperlink" Target="https://eu.mouser.com/ProductDetail/Nexperia/PMEG3010ER115?qs=LMSg3oBIm%2FjofezKw7ztsw%3D%3D" TargetMode="External"/><Relationship Id="rId29" Type="http://schemas.openxmlformats.org/officeDocument/2006/relationships/hyperlink" Target="https://www.digikey.com/en/products/detail/yageo/RC0402JR-071KL/729355" TargetMode="External"/><Relationship Id="rId11" Type="http://schemas.openxmlformats.org/officeDocument/2006/relationships/hyperlink" Target="https://www.digikey.com/en/products/detail/murata-electronics/GRM155R61E105KA12D/4905139?s=N4IgTCBcDaIOICUCyBGArGhA2FBRFADGgNICCKYAIiALoC%2BQA" TargetMode="External"/><Relationship Id="rId24" Type="http://schemas.openxmlformats.org/officeDocument/2006/relationships/hyperlink" Target="https://www.digikey.com/en/products/detail/rohm-semiconductor/ESR01MZPJ103/4053677" TargetMode="External"/><Relationship Id="rId32" Type="http://schemas.openxmlformats.org/officeDocument/2006/relationships/hyperlink" Target="https://www.digikey.com/en/products/detail/yageo/RC0402FR-0760K4L/726643?s=N4IgTCBcDaIEoGEAMAWJYBicC0SDsAbEgNIoAyIAugL5A" TargetMode="External"/><Relationship Id="rId37" Type="http://schemas.openxmlformats.org/officeDocument/2006/relationships/hyperlink" Target="https://www.digikey.com/en/products/detail/texas-instruments/LMR62014XMFE-NOPB/2754196" TargetMode="External"/><Relationship Id="rId40" Type="http://schemas.openxmlformats.org/officeDocument/2006/relationships/hyperlink" Target="https://www.digikey.com/en/products/detail/panasonic-electronic-components/ERJ-2GEJ472X/147026" TargetMode="External"/><Relationship Id="rId45" Type="http://schemas.openxmlformats.org/officeDocument/2006/relationships/hyperlink" Target="https://www.digikey.com/en/products/detail/vishay-semiconductor-opto-division/VLMS1500-GS08/3504681" TargetMode="External"/><Relationship Id="rId53" Type="http://schemas.openxmlformats.org/officeDocument/2006/relationships/hyperlink" Target="https://www.digikey.com/en/products/detail/rubycon/25SEV10M4X5-5/3568461" TargetMode="External"/><Relationship Id="rId58" Type="http://schemas.openxmlformats.org/officeDocument/2006/relationships/hyperlink" Target="https://www.digikey.com/en/products/detail/texas-instruments/DRV8876PWPR/10270191?s=N4IgTCBcDaICICUBqAOFB2AbABQOrYRAF0BfIA" TargetMode="External"/><Relationship Id="rId66" Type="http://schemas.openxmlformats.org/officeDocument/2006/relationships/hyperlink" Target="https://www.digikey.com/en/products/detail/jst-sales-america-inc/B2B-XH-A-LF-SN/1651045" TargetMode="External"/><Relationship Id="rId5" Type="http://schemas.openxmlformats.org/officeDocument/2006/relationships/hyperlink" Target="https://www.digikey.com/en/products/detail/yageo/CC0603JRNPO9BN250/5883609?s=N4IgTCBcDaIMJwAwDZEGYBSAlAcgBQHkBOAIRzAFZEQBdAXyA" TargetMode="External"/><Relationship Id="rId61" Type="http://schemas.openxmlformats.org/officeDocument/2006/relationships/hyperlink" Target="https://www.digikey.com/en/products/detail/gct/DCJ250-05-A-K1-A/9859609" TargetMode="External"/><Relationship Id="rId19" Type="http://schemas.openxmlformats.org/officeDocument/2006/relationships/hyperlink" Target="https://www.digikey.com/en/products/detail/stackpole-electronics-inc/RMCF0201FT1K50/1761885?s=N4IgTCBcDaIEoFkDCAxADGNBGFAVLA0gKxogC6AvkA" TargetMode="External"/><Relationship Id="rId14" Type="http://schemas.openxmlformats.org/officeDocument/2006/relationships/hyperlink" Target="https://www.digikey.com/en/products/detail/rohm-semiconductor/TCTU1D334M8R/4340359?s=N4IgTCBcDaICoGE4FUCMARAzJgLAWQA4AlEAXQF8g" TargetMode="External"/><Relationship Id="rId22" Type="http://schemas.openxmlformats.org/officeDocument/2006/relationships/hyperlink" Target="https://www.digikey.com/en/products/detail/yageo/AC0402FR-0780K6L/5895521?s=N4IgTCBcDaIIIGEAMAWJYBiAlAtEg7ABxIDSAbADIgC6AvkA" TargetMode="External"/><Relationship Id="rId27" Type="http://schemas.openxmlformats.org/officeDocument/2006/relationships/hyperlink" Target="https://www.digikey.com/en/products/detail/yageo/RC0402FR-070RL/2827888" TargetMode="External"/><Relationship Id="rId30" Type="http://schemas.openxmlformats.org/officeDocument/2006/relationships/hyperlink" Target="https://www.digikey.com/en/products/detail/yageo/AC0402FR-07118KL/5895039?s=N4IgTCBcDaIIIGEAMAWJYBiAlAtEg7AIyEAcA0gDIgC6AvkA" TargetMode="External"/><Relationship Id="rId35" Type="http://schemas.openxmlformats.org/officeDocument/2006/relationships/hyperlink" Target="https://www.arrow.com/en/products/lm4890mxnopb/texas-instruments?utm_campaign=octopart_2020&amp;utm_currency=USD&amp;utm_keyword=LM4890MX%2FNOPB&amp;utm_medium=aggregator&amp;utm_content=inv_listing&amp;region=nac&amp;utm_source=octopart" TargetMode="External"/><Relationship Id="rId43" Type="http://schemas.openxmlformats.org/officeDocument/2006/relationships/hyperlink" Target="https://www.digikey.com/en/products/detail/stackpole-electronics-inc/RMCF0402JT1M00/1758203" TargetMode="External"/><Relationship Id="rId48" Type="http://schemas.openxmlformats.org/officeDocument/2006/relationships/hyperlink" Target="https://www.digikey.com/en/products/detail/diodes-incorporated/ZVN3310FTA/92648?s=N4IgTCBcDaIFoDUByBmFBGADAMQCoEEQBdAXyA" TargetMode="External"/><Relationship Id="rId56" Type="http://schemas.openxmlformats.org/officeDocument/2006/relationships/hyperlink" Target="https://eu.mouser.com/ProductDetail/Littelfuse/SP3014-02UTG?qs=F8HfwHd0zjdqZPOszBglrg%3D%3D" TargetMode="External"/><Relationship Id="rId64" Type="http://schemas.openxmlformats.org/officeDocument/2006/relationships/hyperlink" Target="https://www.digikey.com/en/products/detail/weidm%C3%BCller/1715260000/269760" TargetMode="External"/><Relationship Id="rId8" Type="http://schemas.openxmlformats.org/officeDocument/2006/relationships/hyperlink" Target="https://www.digikey.com/en/products/detail/samsung-electro-mechanics/CL10B104KB8NNNC/3886658?s=N4IgTCBcDaIMIBkCMAGAQqgLAaTQDgDki4QBdAXyA" TargetMode="External"/><Relationship Id="rId51" Type="http://schemas.openxmlformats.org/officeDocument/2006/relationships/hyperlink" Target="https://www.digikey.com/en/products/detail/maxlinear-inc/SPX3940AM3-L-3-3-TR/2472424?s=N4IgTCBcDaIMoAUAaBmAnAFgAwEECyKAtADKFEoD0AKgEogC6AvkA" TargetMode="External"/><Relationship Id="rId3" Type="http://schemas.openxmlformats.org/officeDocument/2006/relationships/hyperlink" Target="https://www.digikey.com/en/products/detail/murata-electronics/GRM21BR61E226ME44L/4905535?s=N4IgTCBcDaIOICUCyYCMAhBA2VBRMYWSuALCQDIgC6AvkA" TargetMode="External"/><Relationship Id="rId12" Type="http://schemas.openxmlformats.org/officeDocument/2006/relationships/hyperlink" Target="https://www.digikey.com/en/products/detail/samsung-electro-mechanics/CL10A475KA8NQNC/3887558?s=N4IgTCBcDaIMIBkCMAGAggFgOwFYDSaAHAHICKxcIAugL5A" TargetMode="External"/><Relationship Id="rId17" Type="http://schemas.openxmlformats.org/officeDocument/2006/relationships/hyperlink" Target="https://www.digikey.com/en/products/detail/onsemi/NZT660A/1050764?s=N4IgTCBcDaIHIC0AqA2FAGAgiAugXyA" TargetMode="External"/><Relationship Id="rId25" Type="http://schemas.openxmlformats.org/officeDocument/2006/relationships/hyperlink" Target="https://eu.mouser.com/ProductDetail/YAGEO/RC0402FR-07133KL?qs=UOUeRUa%252B8WmCOdu%2F2H3z4Q%3D%3D" TargetMode="External"/><Relationship Id="rId33" Type="http://schemas.openxmlformats.org/officeDocument/2006/relationships/hyperlink" Target="https://www.digikey.com/en/products/detail/yageo/AC0402FR-0762KL/5895460?s=N4IgTCBcDaIIIGEAMAWJYBiAlAtEg7AGxgDSAMiALoC%2BQA" TargetMode="External"/><Relationship Id="rId38" Type="http://schemas.openxmlformats.org/officeDocument/2006/relationships/hyperlink" Target="https://www.digikey.com/en/products/detail/amphenol-icc-fci/20021121-00010C4LF/2209057?s=N4IgTCBcDa4AxzARicgtAuS4GEAsAMgGIgC6AvkA" TargetMode="External"/><Relationship Id="rId46" Type="http://schemas.openxmlformats.org/officeDocument/2006/relationships/hyperlink" Target="https://www.digikey.com/en/products/detail/onsemi/FDN338P/458848" TargetMode="External"/><Relationship Id="rId59" Type="http://schemas.openxmlformats.org/officeDocument/2006/relationships/hyperlink" Target="https://www.digikey.com/en/products/detail/microchip-technology/MCP7940N-I-SN/2651354?s=N4IgTCBcDaILIGEAKB2AnAFgAwDkC0AkgPQDKOIAugL5A" TargetMode="External"/><Relationship Id="rId67" Type="http://schemas.openxmlformats.org/officeDocument/2006/relationships/printerSettings" Target="../printerSettings/printerSettings1.bin"/><Relationship Id="rId20" Type="http://schemas.openxmlformats.org/officeDocument/2006/relationships/hyperlink" Target="https://www.digikey.com/en/products/detail/yageo/RC0402JR-0720KL/2827648?s=N4IgTCBcDaIEoGEAMAWJYBScC0SDsYSA0gDIgC6AvkA" TargetMode="External"/><Relationship Id="rId41" Type="http://schemas.openxmlformats.org/officeDocument/2006/relationships/hyperlink" Target="https://www.digikey.com/en/products/detail/stackpole-electronics-inc/RMCF0603FT910K/1760950" TargetMode="External"/><Relationship Id="rId54" Type="http://schemas.openxmlformats.org/officeDocument/2006/relationships/hyperlink" Target="https://www.digikey.com/en/products/detail/nkk-switches/MS12ASG30/1058151" TargetMode="External"/><Relationship Id="rId62" Type="http://schemas.openxmlformats.org/officeDocument/2006/relationships/hyperlink" Target="https://www.digikey.com/en/products/detail/adam-tech/MCR-B-S-RA-SMT-CS5A-NF-T-R/9832094" TargetMode="External"/><Relationship Id="rId1" Type="http://schemas.openxmlformats.org/officeDocument/2006/relationships/hyperlink" Target="https://www.digikey.com/en/products/detail/panasonic-electronic-components/EEE-HB1E6R8R/817513?s=N4IgTCBcDaIKIIBICECMcBsAlAHFkAugL5A" TargetMode="External"/><Relationship Id="rId6" Type="http://schemas.openxmlformats.org/officeDocument/2006/relationships/hyperlink" Target="https://www.digikey.com/en/products/detail/yageo/CC0201JRNPO8BN200/5883132" TargetMode="External"/><Relationship Id="rId15" Type="http://schemas.openxmlformats.org/officeDocument/2006/relationships/hyperlink" Target="https://www.digikey.com/en/products/detail/yageo/CC0402JRNPO9BN221/2833581?s=N4IgTCBcDaIMJwAwBZFgFICUByAFA8gJwBC2YYAjCALoC%2BQA" TargetMode="External"/><Relationship Id="rId23" Type="http://schemas.openxmlformats.org/officeDocument/2006/relationships/hyperlink" Target="https://www.digikey.com/en/products/detail/yageo/AC0402FR-0730K9L/5895275?s=N4IgTCBcDaIIIGEAMAWJYBiAlAtEg7AMxIDSAnADIgC6AvkA" TargetMode="External"/><Relationship Id="rId28" Type="http://schemas.openxmlformats.org/officeDocument/2006/relationships/hyperlink" Target="https://www.digikey.com/en/products/detail/yageo/RC0402FR-0747KL/726616?s=N4IgTCBcDaIEoGEAMAWJYBicC0SDsKeA0gDIgC6AvkA" TargetMode="External"/><Relationship Id="rId36" Type="http://schemas.openxmlformats.org/officeDocument/2006/relationships/hyperlink" Target="https://www.digikey.com/en/products/detail/texas-instruments/BQ2057WSNTR/1690104" TargetMode="External"/><Relationship Id="rId49" Type="http://schemas.openxmlformats.org/officeDocument/2006/relationships/hyperlink" Target="https://www.digikey.com/en/products/detail/onsemi/FDN335N/965301?s=N4IgTCBcDaIGIBEByBmFBWJIC6BfIA" TargetMode="External"/><Relationship Id="rId57" Type="http://schemas.openxmlformats.org/officeDocument/2006/relationships/hyperlink" Target="https://www.digikey.com/en/products/detail/ATSAMD21G18A-AUT/ATSAMD21G18A-AUTDKR-ND/4878891?utm_campaign=buynow&amp;utm_medium=aggregator&amp;curr=usd&amp;utm_source=octopart" TargetMode="External"/><Relationship Id="rId10" Type="http://schemas.openxmlformats.org/officeDocument/2006/relationships/hyperlink" Target="https://www.arrow.com/en/products/uwx1e101mcl1gb/nichicon" TargetMode="External"/><Relationship Id="rId31" Type="http://schemas.openxmlformats.org/officeDocument/2006/relationships/hyperlink" Target="https://www.digikey.com/en/products/detail/yageo/RC0402FR-0713K3L/5280834?s=N4IgTCBcDaIEoGEAMAWJYBicC0SDsAjAMwDSRAMiALoC%2BQA" TargetMode="External"/><Relationship Id="rId44" Type="http://schemas.openxmlformats.org/officeDocument/2006/relationships/hyperlink" Target="https://www.digikey.com/en/products/detail/panasonic-electronic-components/ERJ-2RKF4022X/192347" TargetMode="External"/><Relationship Id="rId52" Type="http://schemas.openxmlformats.org/officeDocument/2006/relationships/hyperlink" Target="https://www.digikey.com/en/products/detail/diodes-incorporated/TLV431BFTA/1952619?s=N4IgTCBcDaICoBkBqAWAzARgEIDE4EEQBdAXyA" TargetMode="External"/><Relationship Id="rId60" Type="http://schemas.openxmlformats.org/officeDocument/2006/relationships/hyperlink" Target="https://www.digikey.com/en/products/detail/oupiin/2538-B24G00DBT/13251137" TargetMode="External"/><Relationship Id="rId65" Type="http://schemas.openxmlformats.org/officeDocument/2006/relationships/hyperlink" Target="https://www.digikey.com/en/products/detail/phoenix-contact/1711725/260395" TargetMode="External"/><Relationship Id="rId4" Type="http://schemas.openxmlformats.org/officeDocument/2006/relationships/hyperlink" Target="https://www.digikey.com/en/products/detail/rohm-semiconductor/TCP1A105M8R/923650?s=N4IgTCBcDaICoGEAKBGAgigDAVgLIA4AlEAXQF8g" TargetMode="External"/><Relationship Id="rId9" Type="http://schemas.openxmlformats.org/officeDocument/2006/relationships/hyperlink" Target="https://eu.mouser.com/ProductDetail/Kyocera-AVX/TAJB475K035RNJ?qs=mgX5NEyWO4TjTiyDuj3Okg%3D%3D" TargetMode="External"/><Relationship Id="rId13" Type="http://schemas.openxmlformats.org/officeDocument/2006/relationships/hyperlink" Target="https://www.digikey.com/en/products/detail/taiyo-yuden/EMK105ABJ225KV-F/7403764?s=N4IgTCBcDaIKIFkDSBGADAVgIICEBSYYGSAagLQBiIAugL5A" TargetMode="External"/><Relationship Id="rId18" Type="http://schemas.openxmlformats.org/officeDocument/2006/relationships/hyperlink" Target="https://www.digikey.com/en/products/detail/omron-electronics-inc-emc-div/B3U-1000P/1534338" TargetMode="External"/><Relationship Id="rId39" Type="http://schemas.openxmlformats.org/officeDocument/2006/relationships/hyperlink" Target="https://www.digikey.com/en/products/detail/stackpole-electronics-inc/RMCF0402JT470R/17124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4"/>
  <sheetViews>
    <sheetView tabSelected="1" topLeftCell="G1" zoomScaleNormal="100" workbookViewId="0">
      <selection activeCell="W10" sqref="W10"/>
    </sheetView>
  </sheetViews>
  <sheetFormatPr defaultRowHeight="15" x14ac:dyDescent="0.25"/>
  <cols>
    <col min="1" max="1" width="6.140625" style="5" bestFit="1" customWidth="1"/>
    <col min="2" max="2" width="14.42578125" customWidth="1"/>
    <col min="3" max="3" width="39.42578125" style="14" customWidth="1"/>
    <col min="4" max="4" width="32.28515625" style="5" bestFit="1" customWidth="1"/>
    <col min="5" max="5" width="18.5703125" style="5" bestFit="1" customWidth="1"/>
    <col min="6" max="6" width="25.85546875" style="5" bestFit="1" customWidth="1"/>
    <col min="7" max="7" width="24.7109375" style="5" bestFit="1" customWidth="1"/>
    <col min="8" max="8" width="25.7109375" bestFit="1" customWidth="1"/>
    <col min="9" max="9" width="6.140625" style="46" bestFit="1" customWidth="1"/>
    <col min="10" max="10" width="19.42578125" style="5" bestFit="1" customWidth="1"/>
    <col min="11" max="11" width="10.140625" bestFit="1" customWidth="1"/>
    <col min="12" max="12" width="11.140625" bestFit="1" customWidth="1"/>
    <col min="13" max="13" width="12.140625" bestFit="1" customWidth="1"/>
    <col min="14" max="14" width="7.7109375" style="5" bestFit="1" customWidth="1"/>
    <col min="15" max="15" width="11.5703125" bestFit="1" customWidth="1"/>
    <col min="16" max="16" width="12.140625" bestFit="1" customWidth="1"/>
    <col min="17" max="17" width="12.5703125" bestFit="1" customWidth="1"/>
    <col min="18" max="18" width="13.7109375" bestFit="1" customWidth="1"/>
    <col min="19" max="20" width="13.7109375" customWidth="1"/>
    <col min="21" max="21" width="44" bestFit="1" customWidth="1"/>
  </cols>
  <sheetData>
    <row r="1" spans="1:23" ht="16.5" thickBot="1" x14ac:dyDescent="0.3">
      <c r="A1" s="99" t="s">
        <v>351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1"/>
    </row>
    <row r="2" spans="1:23" ht="15.75" thickBot="1" x14ac:dyDescent="0.3">
      <c r="A2" s="10" t="s">
        <v>4</v>
      </c>
      <c r="B2" s="47" t="s">
        <v>5</v>
      </c>
      <c r="C2" s="47" t="s">
        <v>0</v>
      </c>
      <c r="D2" s="47" t="s">
        <v>1</v>
      </c>
      <c r="E2" s="47" t="s">
        <v>6</v>
      </c>
      <c r="F2" s="47" t="s">
        <v>3</v>
      </c>
      <c r="G2" s="47" t="s">
        <v>2</v>
      </c>
      <c r="H2" s="47" t="s">
        <v>7</v>
      </c>
      <c r="I2" s="47" t="s">
        <v>8</v>
      </c>
      <c r="J2" s="47" t="s">
        <v>9</v>
      </c>
      <c r="K2" s="47" t="s">
        <v>318</v>
      </c>
      <c r="L2" s="47" t="s">
        <v>319</v>
      </c>
      <c r="M2" s="47" t="s">
        <v>320</v>
      </c>
      <c r="N2" s="59" t="s">
        <v>14</v>
      </c>
      <c r="O2" s="47" t="s">
        <v>321</v>
      </c>
      <c r="P2" s="47" t="s">
        <v>322</v>
      </c>
      <c r="Q2" s="47" t="s">
        <v>323</v>
      </c>
      <c r="R2" s="47" t="s">
        <v>324</v>
      </c>
      <c r="S2" s="47" t="s">
        <v>325</v>
      </c>
      <c r="T2" s="47" t="s">
        <v>326</v>
      </c>
      <c r="U2" s="47" t="s">
        <v>10</v>
      </c>
    </row>
    <row r="3" spans="1:23" s="18" customFormat="1" ht="15.75" customHeight="1" thickBot="1" x14ac:dyDescent="0.3">
      <c r="A3" s="17">
        <v>1</v>
      </c>
      <c r="B3" s="104" t="s">
        <v>11</v>
      </c>
      <c r="C3" s="66" t="s">
        <v>47</v>
      </c>
      <c r="D3" s="7" t="s">
        <v>48</v>
      </c>
      <c r="E3" s="7" t="s">
        <v>41</v>
      </c>
      <c r="F3" s="7" t="s">
        <v>49</v>
      </c>
      <c r="G3" s="67" t="s">
        <v>98</v>
      </c>
      <c r="H3" s="31" t="s">
        <v>40</v>
      </c>
      <c r="I3" s="7" t="s">
        <v>109</v>
      </c>
      <c r="J3" s="67">
        <v>1</v>
      </c>
      <c r="K3" s="8">
        <f>J3*5</f>
        <v>5</v>
      </c>
      <c r="L3" s="8">
        <f>J3*50</f>
        <v>50</v>
      </c>
      <c r="M3" s="8">
        <f>J3*100</f>
        <v>100</v>
      </c>
      <c r="N3" s="88" t="s">
        <v>20</v>
      </c>
      <c r="O3" s="52">
        <v>0.43</v>
      </c>
      <c r="P3" s="19">
        <f>O3*K3</f>
        <v>2.15</v>
      </c>
      <c r="Q3" s="52">
        <v>0.1956</v>
      </c>
      <c r="R3" s="19">
        <f>Q3*L3</f>
        <v>9.7799999999999994</v>
      </c>
      <c r="S3" s="54">
        <v>0.16619999999999999</v>
      </c>
      <c r="T3" s="58">
        <f>S3*M3</f>
        <v>16.619999999999997</v>
      </c>
      <c r="U3" s="68"/>
    </row>
    <row r="4" spans="1:23" ht="15.75" customHeight="1" thickBot="1" x14ac:dyDescent="0.3">
      <c r="A4" s="10">
        <v>2</v>
      </c>
      <c r="B4" s="105"/>
      <c r="C4" s="69" t="s">
        <v>50</v>
      </c>
      <c r="D4" s="12" t="s">
        <v>51</v>
      </c>
      <c r="E4" s="12" t="s">
        <v>41</v>
      </c>
      <c r="F4" s="24" t="s">
        <v>52</v>
      </c>
      <c r="G4" s="44" t="s">
        <v>99</v>
      </c>
      <c r="H4" s="11" t="s">
        <v>355</v>
      </c>
      <c r="I4" s="12" t="s">
        <v>110</v>
      </c>
      <c r="J4" s="44">
        <v>1</v>
      </c>
      <c r="K4" s="13">
        <f t="shared" ref="K4:K67" si="0">J4*5</f>
        <v>5</v>
      </c>
      <c r="L4" s="13">
        <f t="shared" ref="L4:L67" si="1">J4*50</f>
        <v>50</v>
      </c>
      <c r="M4" s="13">
        <f t="shared" ref="M4:M67" si="2">J4*100</f>
        <v>100</v>
      </c>
      <c r="N4" s="86" t="s">
        <v>20</v>
      </c>
      <c r="O4" s="48">
        <v>0.47</v>
      </c>
      <c r="P4" s="21">
        <f t="shared" ref="P4:P67" si="3">O4*K4</f>
        <v>2.3499999999999996</v>
      </c>
      <c r="Q4" s="48">
        <v>0.22620000000000001</v>
      </c>
      <c r="R4" s="21">
        <f t="shared" ref="R4:R67" si="4">Q4*L4</f>
        <v>11.31</v>
      </c>
      <c r="S4" s="55">
        <v>0.19389999999999999</v>
      </c>
      <c r="T4" s="21">
        <f t="shared" ref="T4:T67" si="5">S4*M4</f>
        <v>19.39</v>
      </c>
      <c r="U4" s="111" t="s">
        <v>356</v>
      </c>
    </row>
    <row r="5" spans="1:23" s="22" customFormat="1" ht="26.25" thickBot="1" x14ac:dyDescent="0.3">
      <c r="A5" s="10">
        <v>3</v>
      </c>
      <c r="B5" s="105"/>
      <c r="C5" s="69" t="s">
        <v>53</v>
      </c>
      <c r="D5" s="11" t="s">
        <v>54</v>
      </c>
      <c r="E5" s="12" t="s">
        <v>55</v>
      </c>
      <c r="F5" s="12" t="s">
        <v>56</v>
      </c>
      <c r="G5" s="44" t="s">
        <v>100</v>
      </c>
      <c r="H5" s="12" t="s">
        <v>40</v>
      </c>
      <c r="I5" s="12" t="s">
        <v>43</v>
      </c>
      <c r="J5" s="44">
        <v>13</v>
      </c>
      <c r="K5" s="13">
        <f t="shared" si="0"/>
        <v>65</v>
      </c>
      <c r="L5" s="13">
        <f t="shared" si="1"/>
        <v>650</v>
      </c>
      <c r="M5" s="13">
        <f t="shared" si="2"/>
        <v>1300</v>
      </c>
      <c r="N5" s="110" t="s">
        <v>20</v>
      </c>
      <c r="O5" s="48">
        <v>1.5800000000000002E-2</v>
      </c>
      <c r="P5" s="21">
        <f t="shared" si="3"/>
        <v>1.0270000000000001</v>
      </c>
      <c r="Q5" s="48">
        <v>9.2399999999999999E-3</v>
      </c>
      <c r="R5" s="21">
        <f t="shared" si="4"/>
        <v>6.0060000000000002</v>
      </c>
      <c r="S5" s="55">
        <v>7.26E-3</v>
      </c>
      <c r="T5" s="21">
        <f t="shared" si="5"/>
        <v>9.4380000000000006</v>
      </c>
      <c r="U5" s="70"/>
    </row>
    <row r="6" spans="1:23" ht="15.75" customHeight="1" thickBot="1" x14ac:dyDescent="0.3">
      <c r="A6" s="10">
        <v>4</v>
      </c>
      <c r="B6" s="105"/>
      <c r="C6" s="69" t="s">
        <v>57</v>
      </c>
      <c r="D6" s="12" t="s">
        <v>58</v>
      </c>
      <c r="E6" s="12" t="s">
        <v>59</v>
      </c>
      <c r="F6" s="12" t="s">
        <v>60</v>
      </c>
      <c r="G6" s="44" t="s">
        <v>101</v>
      </c>
      <c r="H6" s="12" t="s">
        <v>40</v>
      </c>
      <c r="I6" s="12" t="s">
        <v>111</v>
      </c>
      <c r="J6" s="44">
        <v>2</v>
      </c>
      <c r="K6" s="13">
        <f t="shared" si="0"/>
        <v>10</v>
      </c>
      <c r="L6" s="13">
        <f t="shared" si="1"/>
        <v>100</v>
      </c>
      <c r="M6" s="13">
        <f t="shared" si="2"/>
        <v>200</v>
      </c>
      <c r="N6" s="89" t="s">
        <v>20</v>
      </c>
      <c r="O6" s="20">
        <v>0.30199999999999999</v>
      </c>
      <c r="P6" s="21">
        <f t="shared" si="3"/>
        <v>3.02</v>
      </c>
      <c r="Q6" s="20">
        <v>0.18149999999999999</v>
      </c>
      <c r="R6" s="21">
        <f t="shared" si="4"/>
        <v>18.149999999999999</v>
      </c>
      <c r="S6" s="55">
        <v>0.18149999999999999</v>
      </c>
      <c r="T6" s="21">
        <f t="shared" si="5"/>
        <v>36.299999999999997</v>
      </c>
      <c r="U6" s="27"/>
      <c r="V6" s="1"/>
      <c r="W6" s="1"/>
    </row>
    <row r="7" spans="1:23" ht="15.75" thickBot="1" x14ac:dyDescent="0.3">
      <c r="A7" s="10">
        <v>5</v>
      </c>
      <c r="B7" s="105"/>
      <c r="C7" s="23" t="s">
        <v>61</v>
      </c>
      <c r="D7" s="12" t="s">
        <v>62</v>
      </c>
      <c r="E7" s="12" t="s">
        <v>41</v>
      </c>
      <c r="F7" s="12" t="s">
        <v>63</v>
      </c>
      <c r="G7" s="44" t="s">
        <v>102</v>
      </c>
      <c r="H7" s="12" t="s">
        <v>40</v>
      </c>
      <c r="I7" s="12" t="s">
        <v>112</v>
      </c>
      <c r="J7" s="44">
        <v>2</v>
      </c>
      <c r="K7" s="13">
        <f t="shared" si="0"/>
        <v>10</v>
      </c>
      <c r="L7" s="13">
        <f t="shared" si="1"/>
        <v>100</v>
      </c>
      <c r="M7" s="13">
        <f t="shared" si="2"/>
        <v>200</v>
      </c>
      <c r="N7" s="89" t="s">
        <v>20</v>
      </c>
      <c r="O7" s="20">
        <v>0.378</v>
      </c>
      <c r="P7" s="21">
        <f t="shared" si="3"/>
        <v>3.7800000000000002</v>
      </c>
      <c r="Q7" s="20">
        <v>0.2487</v>
      </c>
      <c r="R7" s="21">
        <f t="shared" si="4"/>
        <v>24.87</v>
      </c>
      <c r="S7" s="55">
        <v>0.2487</v>
      </c>
      <c r="T7" s="21">
        <f t="shared" si="5"/>
        <v>49.74</v>
      </c>
      <c r="U7" s="27"/>
      <c r="V7" s="1"/>
      <c r="W7" s="1"/>
    </row>
    <row r="8" spans="1:23" ht="15.75" customHeight="1" thickBot="1" x14ac:dyDescent="0.3">
      <c r="A8" s="10">
        <v>6</v>
      </c>
      <c r="B8" s="105"/>
      <c r="C8" s="69" t="s">
        <v>64</v>
      </c>
      <c r="D8" s="12" t="s">
        <v>65</v>
      </c>
      <c r="E8" s="12" t="s">
        <v>66</v>
      </c>
      <c r="F8" s="12" t="s">
        <v>67</v>
      </c>
      <c r="G8" s="44" t="s">
        <v>22</v>
      </c>
      <c r="H8" s="12" t="s">
        <v>40</v>
      </c>
      <c r="I8" s="12" t="s">
        <v>113</v>
      </c>
      <c r="J8" s="44">
        <v>1</v>
      </c>
      <c r="K8" s="13">
        <f t="shared" si="0"/>
        <v>5</v>
      </c>
      <c r="L8" s="13">
        <f t="shared" si="1"/>
        <v>50</v>
      </c>
      <c r="M8" s="13">
        <f t="shared" si="2"/>
        <v>100</v>
      </c>
      <c r="N8" s="89" t="s">
        <v>20</v>
      </c>
      <c r="O8" s="20">
        <v>0.11</v>
      </c>
      <c r="P8" s="21">
        <f t="shared" si="3"/>
        <v>0.55000000000000004</v>
      </c>
      <c r="Q8" s="20">
        <v>4.36E-2</v>
      </c>
      <c r="R8" s="21">
        <f t="shared" si="4"/>
        <v>2.1800000000000002</v>
      </c>
      <c r="S8" s="55">
        <v>3.5700000000000003E-2</v>
      </c>
      <c r="T8" s="21">
        <f t="shared" si="5"/>
        <v>3.5700000000000003</v>
      </c>
      <c r="U8" s="27"/>
      <c r="V8" s="1"/>
      <c r="W8" s="1"/>
    </row>
    <row r="9" spans="1:23" ht="15.75" customHeight="1" thickBot="1" x14ac:dyDescent="0.3">
      <c r="A9" s="10">
        <v>7</v>
      </c>
      <c r="B9" s="105"/>
      <c r="C9" s="69" t="s">
        <v>68</v>
      </c>
      <c r="D9" s="12" t="s">
        <v>69</v>
      </c>
      <c r="E9" s="12" t="s">
        <v>70</v>
      </c>
      <c r="F9" s="24" t="s">
        <v>71</v>
      </c>
      <c r="G9" s="44" t="s">
        <v>101</v>
      </c>
      <c r="H9" s="12" t="s">
        <v>327</v>
      </c>
      <c r="I9" s="12" t="s">
        <v>114</v>
      </c>
      <c r="J9" s="44">
        <v>4</v>
      </c>
      <c r="K9" s="13">
        <f t="shared" si="0"/>
        <v>20</v>
      </c>
      <c r="L9" s="13">
        <f t="shared" si="1"/>
        <v>200</v>
      </c>
      <c r="M9" s="13">
        <f t="shared" si="2"/>
        <v>400</v>
      </c>
      <c r="N9" s="89" t="s">
        <v>20</v>
      </c>
      <c r="O9" s="20">
        <v>2.5999999999999999E-2</v>
      </c>
      <c r="P9" s="21">
        <f t="shared" si="3"/>
        <v>0.52</v>
      </c>
      <c r="Q9" s="20">
        <v>1.1599999999999999E-2</v>
      </c>
      <c r="R9" s="21">
        <f t="shared" si="4"/>
        <v>2.3199999999999998</v>
      </c>
      <c r="S9" s="55">
        <v>1.1599999999999999E-2</v>
      </c>
      <c r="T9" s="21">
        <f t="shared" si="5"/>
        <v>4.6399999999999997</v>
      </c>
      <c r="U9" s="27"/>
      <c r="V9" s="1"/>
      <c r="W9" s="1"/>
    </row>
    <row r="10" spans="1:23" ht="15.75" customHeight="1" thickBot="1" x14ac:dyDescent="0.3">
      <c r="A10" s="10">
        <v>8</v>
      </c>
      <c r="B10" s="105"/>
      <c r="C10" s="69" t="s">
        <v>72</v>
      </c>
      <c r="D10" s="12" t="s">
        <v>73</v>
      </c>
      <c r="E10" s="12" t="s">
        <v>66</v>
      </c>
      <c r="F10" s="12" t="s">
        <v>74</v>
      </c>
      <c r="G10" s="44" t="s">
        <v>103</v>
      </c>
      <c r="H10" s="12" t="s">
        <v>40</v>
      </c>
      <c r="I10" s="12" t="s">
        <v>115</v>
      </c>
      <c r="J10" s="44">
        <v>1</v>
      </c>
      <c r="K10" s="13">
        <f t="shared" si="0"/>
        <v>5</v>
      </c>
      <c r="L10" s="13">
        <f t="shared" si="1"/>
        <v>50</v>
      </c>
      <c r="M10" s="13">
        <f t="shared" si="2"/>
        <v>100</v>
      </c>
      <c r="N10" s="89" t="s">
        <v>20</v>
      </c>
      <c r="O10" s="20">
        <v>0.11</v>
      </c>
      <c r="P10" s="21">
        <f t="shared" si="3"/>
        <v>0.55000000000000004</v>
      </c>
      <c r="Q10" s="20">
        <v>4.3400000000000001E-2</v>
      </c>
      <c r="R10" s="21">
        <f t="shared" si="4"/>
        <v>2.17</v>
      </c>
      <c r="S10" s="55">
        <v>3.5900000000000001E-2</v>
      </c>
      <c r="T10" s="21">
        <f t="shared" si="5"/>
        <v>3.5900000000000003</v>
      </c>
      <c r="U10" s="27"/>
      <c r="V10" s="1"/>
      <c r="W10" s="1"/>
    </row>
    <row r="11" spans="1:23" ht="15.75" thickBot="1" x14ac:dyDescent="0.3">
      <c r="A11" s="10">
        <v>9</v>
      </c>
      <c r="B11" s="105"/>
      <c r="C11" s="69" t="s">
        <v>352</v>
      </c>
      <c r="D11" s="12" t="s">
        <v>75</v>
      </c>
      <c r="E11" s="12" t="s">
        <v>66</v>
      </c>
      <c r="F11" s="12" t="s">
        <v>76</v>
      </c>
      <c r="G11" s="44" t="s">
        <v>104</v>
      </c>
      <c r="H11" s="12" t="s">
        <v>40</v>
      </c>
      <c r="I11" s="12" t="s">
        <v>43</v>
      </c>
      <c r="J11" s="44">
        <v>4</v>
      </c>
      <c r="K11" s="13">
        <f t="shared" si="0"/>
        <v>20</v>
      </c>
      <c r="L11" s="13">
        <f t="shared" si="1"/>
        <v>200</v>
      </c>
      <c r="M11" s="13">
        <f t="shared" si="2"/>
        <v>400</v>
      </c>
      <c r="N11" s="90" t="s">
        <v>20</v>
      </c>
      <c r="O11" s="20">
        <v>2.9000000000000001E-2</v>
      </c>
      <c r="P11" s="21">
        <f t="shared" si="3"/>
        <v>0.58000000000000007</v>
      </c>
      <c r="Q11" s="20">
        <v>1.2999999999999999E-2</v>
      </c>
      <c r="R11" s="21">
        <f t="shared" si="4"/>
        <v>2.6</v>
      </c>
      <c r="S11" s="55">
        <v>1.2999999999999999E-2</v>
      </c>
      <c r="T11" s="21">
        <f t="shared" si="5"/>
        <v>5.2</v>
      </c>
      <c r="U11" s="53"/>
      <c r="V11" s="1"/>
      <c r="W11" s="1"/>
    </row>
    <row r="12" spans="1:23" s="22" customFormat="1" ht="15.75" customHeight="1" thickBot="1" x14ac:dyDescent="0.3">
      <c r="A12" s="10">
        <v>10</v>
      </c>
      <c r="B12" s="105"/>
      <c r="C12" s="69" t="s">
        <v>77</v>
      </c>
      <c r="D12" s="12" t="s">
        <v>78</v>
      </c>
      <c r="E12" s="12" t="s">
        <v>328</v>
      </c>
      <c r="F12" s="12" t="s">
        <v>79</v>
      </c>
      <c r="G12" s="44" t="s">
        <v>105</v>
      </c>
      <c r="H12" s="12" t="s">
        <v>40</v>
      </c>
      <c r="I12" s="12" t="s">
        <v>116</v>
      </c>
      <c r="J12" s="44">
        <v>1</v>
      </c>
      <c r="K12" s="13">
        <f t="shared" si="0"/>
        <v>5</v>
      </c>
      <c r="L12" s="13">
        <f t="shared" si="1"/>
        <v>50</v>
      </c>
      <c r="M12" s="13">
        <f t="shared" si="2"/>
        <v>100</v>
      </c>
      <c r="N12" s="86" t="s">
        <v>329</v>
      </c>
      <c r="O12" s="20">
        <v>0.44</v>
      </c>
      <c r="P12" s="21">
        <f t="shared" si="3"/>
        <v>2.2000000000000002</v>
      </c>
      <c r="Q12" s="20">
        <v>0.23699999999999999</v>
      </c>
      <c r="R12" s="21">
        <f t="shared" si="4"/>
        <v>11.85</v>
      </c>
      <c r="S12" s="56">
        <v>0.20399999999999999</v>
      </c>
      <c r="T12" s="21">
        <f t="shared" si="5"/>
        <v>20.399999999999999</v>
      </c>
      <c r="U12" s="71"/>
      <c r="V12" s="25"/>
      <c r="W12" s="25"/>
    </row>
    <row r="13" spans="1:23" ht="15.75" customHeight="1" thickBot="1" x14ac:dyDescent="0.3">
      <c r="A13" s="10">
        <v>11</v>
      </c>
      <c r="B13" s="105"/>
      <c r="C13" s="69" t="s">
        <v>80</v>
      </c>
      <c r="D13" s="12" t="s">
        <v>81</v>
      </c>
      <c r="E13" s="12" t="s">
        <v>41</v>
      </c>
      <c r="F13" s="12" t="s">
        <v>82</v>
      </c>
      <c r="G13" s="44" t="s">
        <v>106</v>
      </c>
      <c r="H13" s="12" t="s">
        <v>40</v>
      </c>
      <c r="I13" s="12" t="s">
        <v>117</v>
      </c>
      <c r="J13" s="44">
        <v>1</v>
      </c>
      <c r="K13" s="13">
        <f t="shared" si="0"/>
        <v>5</v>
      </c>
      <c r="L13" s="13">
        <f t="shared" si="1"/>
        <v>50</v>
      </c>
      <c r="M13" s="13">
        <f t="shared" si="2"/>
        <v>100</v>
      </c>
      <c r="N13" s="86" t="s">
        <v>330</v>
      </c>
      <c r="O13" s="45">
        <v>0.6411</v>
      </c>
      <c r="P13" s="21">
        <f t="shared" si="3"/>
        <v>3.2054999999999998</v>
      </c>
      <c r="Q13" s="45">
        <v>0.6411</v>
      </c>
      <c r="R13" s="21">
        <f t="shared" si="4"/>
        <v>32.055</v>
      </c>
      <c r="S13" s="55">
        <v>0.6411</v>
      </c>
      <c r="T13" s="21">
        <f t="shared" si="5"/>
        <v>64.11</v>
      </c>
      <c r="U13" s="72"/>
      <c r="V13" s="1"/>
      <c r="W13" s="1"/>
    </row>
    <row r="14" spans="1:23" ht="15.75" customHeight="1" thickBot="1" x14ac:dyDescent="0.3">
      <c r="A14" s="10">
        <v>12</v>
      </c>
      <c r="B14" s="105"/>
      <c r="C14" s="69" t="s">
        <v>83</v>
      </c>
      <c r="D14" s="12" t="s">
        <v>84</v>
      </c>
      <c r="E14" s="12" t="s">
        <v>55</v>
      </c>
      <c r="F14" s="12" t="s">
        <v>85</v>
      </c>
      <c r="G14" s="44" t="s">
        <v>101</v>
      </c>
      <c r="H14" s="12" t="s">
        <v>40</v>
      </c>
      <c r="I14" s="12" t="s">
        <v>42</v>
      </c>
      <c r="J14" s="44">
        <v>2</v>
      </c>
      <c r="K14" s="13">
        <f t="shared" si="0"/>
        <v>10</v>
      </c>
      <c r="L14" s="13">
        <f t="shared" si="1"/>
        <v>100</v>
      </c>
      <c r="M14" s="13">
        <f t="shared" si="2"/>
        <v>200</v>
      </c>
      <c r="N14" s="86" t="s">
        <v>20</v>
      </c>
      <c r="O14" s="20">
        <v>0.08</v>
      </c>
      <c r="P14" s="21">
        <f t="shared" si="3"/>
        <v>0.8</v>
      </c>
      <c r="Q14" s="20">
        <v>3.56E-2</v>
      </c>
      <c r="R14" s="21">
        <f t="shared" si="4"/>
        <v>3.56</v>
      </c>
      <c r="S14" s="55">
        <v>3.56E-2</v>
      </c>
      <c r="T14" s="21">
        <f t="shared" si="5"/>
        <v>7.12</v>
      </c>
      <c r="U14" s="72"/>
      <c r="V14" s="1"/>
      <c r="W14" s="1"/>
    </row>
    <row r="15" spans="1:23" ht="15.75" customHeight="1" thickBot="1" x14ac:dyDescent="0.3">
      <c r="A15" s="10">
        <v>13</v>
      </c>
      <c r="B15" s="105"/>
      <c r="C15" s="69" t="s">
        <v>86</v>
      </c>
      <c r="D15" s="12" t="s">
        <v>87</v>
      </c>
      <c r="E15" s="12" t="s">
        <v>66</v>
      </c>
      <c r="F15" s="12" t="s">
        <v>88</v>
      </c>
      <c r="G15" s="44" t="s">
        <v>104</v>
      </c>
      <c r="H15" s="12" t="s">
        <v>40</v>
      </c>
      <c r="I15" s="12" t="s">
        <v>118</v>
      </c>
      <c r="J15" s="44">
        <v>2</v>
      </c>
      <c r="K15" s="13">
        <f t="shared" si="0"/>
        <v>10</v>
      </c>
      <c r="L15" s="13">
        <f t="shared" si="1"/>
        <v>100</v>
      </c>
      <c r="M15" s="13">
        <f t="shared" si="2"/>
        <v>200</v>
      </c>
      <c r="N15" s="86" t="s">
        <v>20</v>
      </c>
      <c r="O15" s="20">
        <v>0.25900000000000001</v>
      </c>
      <c r="P15" s="21">
        <f t="shared" si="3"/>
        <v>2.59</v>
      </c>
      <c r="Q15" s="20">
        <v>0.14660000000000001</v>
      </c>
      <c r="R15" s="21">
        <f t="shared" si="4"/>
        <v>14.66</v>
      </c>
      <c r="S15" s="55">
        <v>0.14660000000000001</v>
      </c>
      <c r="T15" s="21">
        <f t="shared" si="5"/>
        <v>29.32</v>
      </c>
      <c r="U15" s="72"/>
      <c r="V15" s="1"/>
      <c r="W15" s="1"/>
    </row>
    <row r="16" spans="1:23" ht="15.75" customHeight="1" thickBot="1" x14ac:dyDescent="0.3">
      <c r="A16" s="10">
        <v>14</v>
      </c>
      <c r="B16" s="105"/>
      <c r="C16" s="69" t="s">
        <v>89</v>
      </c>
      <c r="D16" s="12" t="s">
        <v>90</v>
      </c>
      <c r="E16" s="12" t="s">
        <v>55</v>
      </c>
      <c r="F16" s="12" t="s">
        <v>91</v>
      </c>
      <c r="G16" s="44" t="s">
        <v>107</v>
      </c>
      <c r="H16" s="12" t="s">
        <v>40</v>
      </c>
      <c r="I16" s="12" t="s">
        <v>119</v>
      </c>
      <c r="J16" s="44">
        <v>2</v>
      </c>
      <c r="K16" s="13">
        <f t="shared" si="0"/>
        <v>10</v>
      </c>
      <c r="L16" s="13">
        <f t="shared" si="1"/>
        <v>100</v>
      </c>
      <c r="M16" s="13">
        <f t="shared" si="2"/>
        <v>200</v>
      </c>
      <c r="N16" s="86" t="s">
        <v>20</v>
      </c>
      <c r="O16" s="20">
        <v>0.156</v>
      </c>
      <c r="P16" s="21">
        <f t="shared" si="3"/>
        <v>1.56</v>
      </c>
      <c r="Q16" s="20">
        <v>7.3499999999999996E-2</v>
      </c>
      <c r="R16" s="21">
        <f t="shared" si="4"/>
        <v>7.35</v>
      </c>
      <c r="S16" s="55">
        <v>7.3499999999999996E-2</v>
      </c>
      <c r="T16" s="21">
        <f t="shared" si="5"/>
        <v>14.7</v>
      </c>
      <c r="U16" s="72"/>
      <c r="V16" s="1"/>
      <c r="W16" s="1"/>
    </row>
    <row r="17" spans="1:23" ht="15.75" customHeight="1" thickBot="1" x14ac:dyDescent="0.3">
      <c r="A17" s="10">
        <v>15</v>
      </c>
      <c r="B17" s="105"/>
      <c r="C17" s="69" t="s">
        <v>92</v>
      </c>
      <c r="D17" s="12" t="s">
        <v>93</v>
      </c>
      <c r="E17" s="12" t="s">
        <v>55</v>
      </c>
      <c r="F17" s="12" t="s">
        <v>94</v>
      </c>
      <c r="G17" s="44" t="s">
        <v>108</v>
      </c>
      <c r="H17" s="12" t="s">
        <v>40</v>
      </c>
      <c r="I17" s="12" t="s">
        <v>120</v>
      </c>
      <c r="J17" s="44">
        <v>1</v>
      </c>
      <c r="K17" s="13">
        <f t="shared" si="0"/>
        <v>5</v>
      </c>
      <c r="L17" s="13">
        <f t="shared" si="1"/>
        <v>50</v>
      </c>
      <c r="M17" s="13">
        <f t="shared" si="2"/>
        <v>100</v>
      </c>
      <c r="N17" s="86" t="s">
        <v>20</v>
      </c>
      <c r="O17" s="20">
        <v>0.52</v>
      </c>
      <c r="P17" s="21">
        <f t="shared" si="3"/>
        <v>2.6</v>
      </c>
      <c r="Q17" s="20">
        <v>0.27800000000000002</v>
      </c>
      <c r="R17" s="21">
        <f t="shared" si="4"/>
        <v>13.900000000000002</v>
      </c>
      <c r="S17" s="55">
        <v>0.2422</v>
      </c>
      <c r="T17" s="21">
        <f t="shared" si="5"/>
        <v>24.22</v>
      </c>
      <c r="U17" s="72"/>
      <c r="V17" s="1"/>
      <c r="W17" s="1"/>
    </row>
    <row r="18" spans="1:23" ht="15.75" customHeight="1" thickBot="1" x14ac:dyDescent="0.3">
      <c r="A18" s="10"/>
      <c r="B18" s="106"/>
      <c r="C18" s="73" t="s">
        <v>95</v>
      </c>
      <c r="D18" s="6" t="s">
        <v>96</v>
      </c>
      <c r="E18" s="6" t="s">
        <v>55</v>
      </c>
      <c r="F18" s="6" t="s">
        <v>97</v>
      </c>
      <c r="G18" s="74" t="s">
        <v>100</v>
      </c>
      <c r="H18" s="6" t="s">
        <v>23</v>
      </c>
      <c r="I18" s="6" t="s">
        <v>121</v>
      </c>
      <c r="J18" s="74">
        <v>1</v>
      </c>
      <c r="K18" s="16">
        <f t="shared" si="0"/>
        <v>5</v>
      </c>
      <c r="L18" s="16">
        <f t="shared" si="1"/>
        <v>50</v>
      </c>
      <c r="M18" s="16">
        <f t="shared" si="2"/>
        <v>100</v>
      </c>
      <c r="N18" s="87" t="s">
        <v>20</v>
      </c>
      <c r="O18" s="34">
        <v>0.1</v>
      </c>
      <c r="P18" s="35">
        <f t="shared" si="3"/>
        <v>0.5</v>
      </c>
      <c r="Q18" s="34">
        <v>1.8200000000000001E-2</v>
      </c>
      <c r="R18" s="35">
        <f t="shared" si="4"/>
        <v>0.91</v>
      </c>
      <c r="S18" s="57">
        <v>1.4800000000000001E-2</v>
      </c>
      <c r="T18" s="35">
        <f t="shared" si="5"/>
        <v>1.48</v>
      </c>
      <c r="U18" s="75"/>
      <c r="V18" s="1"/>
      <c r="W18" s="1"/>
    </row>
    <row r="19" spans="1:23" ht="16.5" thickBot="1" x14ac:dyDescent="0.3">
      <c r="A19" s="10">
        <v>16</v>
      </c>
      <c r="B19" s="36" t="s">
        <v>165</v>
      </c>
      <c r="C19" s="76" t="s">
        <v>122</v>
      </c>
      <c r="D19" s="41" t="s">
        <v>123</v>
      </c>
      <c r="E19" s="41" t="s">
        <v>124</v>
      </c>
      <c r="F19" s="41" t="s">
        <v>125</v>
      </c>
      <c r="G19" s="77" t="s">
        <v>157</v>
      </c>
      <c r="H19" s="41" t="s">
        <v>331</v>
      </c>
      <c r="I19" s="41" t="s">
        <v>21</v>
      </c>
      <c r="J19" s="77">
        <v>3</v>
      </c>
      <c r="K19" s="61">
        <f t="shared" si="0"/>
        <v>15</v>
      </c>
      <c r="L19" s="61">
        <f t="shared" si="1"/>
        <v>150</v>
      </c>
      <c r="M19" s="61">
        <f t="shared" si="2"/>
        <v>300</v>
      </c>
      <c r="N19" s="91" t="s">
        <v>329</v>
      </c>
      <c r="O19" s="62">
        <v>0.32200000000000001</v>
      </c>
      <c r="P19" s="63">
        <f t="shared" si="3"/>
        <v>4.83</v>
      </c>
      <c r="Q19" s="62">
        <v>0.2</v>
      </c>
      <c r="R19" s="63">
        <f t="shared" si="4"/>
        <v>30</v>
      </c>
      <c r="S19" s="63">
        <v>0.2</v>
      </c>
      <c r="T19" s="63">
        <f t="shared" si="5"/>
        <v>60</v>
      </c>
      <c r="U19" s="78"/>
      <c r="V19" s="1"/>
      <c r="W19" s="1"/>
    </row>
    <row r="20" spans="1:23" s="22" customFormat="1" ht="16.5" thickBot="1" x14ac:dyDescent="0.3">
      <c r="A20" s="10">
        <v>17</v>
      </c>
      <c r="B20" s="94" t="s">
        <v>168</v>
      </c>
      <c r="C20" s="96" t="s">
        <v>126</v>
      </c>
      <c r="D20" s="37" t="s">
        <v>127</v>
      </c>
      <c r="E20" s="37" t="s">
        <v>128</v>
      </c>
      <c r="F20" s="98" t="s">
        <v>129</v>
      </c>
      <c r="G20" s="79" t="s">
        <v>158</v>
      </c>
      <c r="H20" s="37" t="s">
        <v>353</v>
      </c>
      <c r="I20" s="37" t="s">
        <v>21</v>
      </c>
      <c r="J20" s="79">
        <v>2</v>
      </c>
      <c r="K20" s="79">
        <f t="shared" si="0"/>
        <v>10</v>
      </c>
      <c r="L20" s="79">
        <f t="shared" si="1"/>
        <v>100</v>
      </c>
      <c r="M20" s="79">
        <f t="shared" si="2"/>
        <v>200</v>
      </c>
      <c r="N20" s="114" t="s">
        <v>20</v>
      </c>
      <c r="O20" s="38">
        <v>0.32200000000000001</v>
      </c>
      <c r="P20" s="38">
        <f t="shared" si="3"/>
        <v>3.22</v>
      </c>
      <c r="Q20" s="38">
        <v>0.1825</v>
      </c>
      <c r="R20" s="38">
        <f t="shared" si="4"/>
        <v>18.25</v>
      </c>
      <c r="S20" s="97">
        <v>0.1825</v>
      </c>
      <c r="T20" s="38">
        <f t="shared" si="5"/>
        <v>36.5</v>
      </c>
      <c r="U20" s="126"/>
      <c r="V20" s="25"/>
      <c r="W20" s="25"/>
    </row>
    <row r="21" spans="1:23" ht="15.75" thickBot="1" x14ac:dyDescent="0.3">
      <c r="A21" s="10">
        <v>18</v>
      </c>
      <c r="B21" s="107" t="s">
        <v>166</v>
      </c>
      <c r="C21" s="66" t="s">
        <v>354</v>
      </c>
      <c r="D21" s="7" t="s">
        <v>130</v>
      </c>
      <c r="E21" s="7" t="s">
        <v>131</v>
      </c>
      <c r="F21" s="7" t="s">
        <v>132</v>
      </c>
      <c r="G21" s="67" t="s">
        <v>46</v>
      </c>
      <c r="H21" s="7" t="s">
        <v>40</v>
      </c>
      <c r="I21" s="7" t="s">
        <v>21</v>
      </c>
      <c r="J21" s="67">
        <v>1</v>
      </c>
      <c r="K21" s="8">
        <f t="shared" si="0"/>
        <v>5</v>
      </c>
      <c r="L21" s="8">
        <f t="shared" si="1"/>
        <v>50</v>
      </c>
      <c r="M21" s="8">
        <f t="shared" si="2"/>
        <v>100</v>
      </c>
      <c r="N21" s="92" t="s">
        <v>20</v>
      </c>
      <c r="O21" s="32">
        <v>0.52</v>
      </c>
      <c r="P21" s="33">
        <f t="shared" si="3"/>
        <v>2.6</v>
      </c>
      <c r="Q21" s="32">
        <v>0.41799999999999998</v>
      </c>
      <c r="R21" s="33">
        <f t="shared" si="4"/>
        <v>20.9</v>
      </c>
      <c r="S21" s="54">
        <v>0.28439999999999999</v>
      </c>
      <c r="T21" s="33">
        <f t="shared" si="5"/>
        <v>28.439999999999998</v>
      </c>
      <c r="U21" s="128" t="s">
        <v>359</v>
      </c>
      <c r="V21" s="1"/>
      <c r="W21" s="1"/>
    </row>
    <row r="22" spans="1:23" ht="15.75" customHeight="1" thickBot="1" x14ac:dyDescent="0.3">
      <c r="A22" s="10">
        <v>19</v>
      </c>
      <c r="B22" s="108"/>
      <c r="C22" s="69" t="s">
        <v>133</v>
      </c>
      <c r="D22" s="12" t="s">
        <v>134</v>
      </c>
      <c r="E22" s="12" t="s">
        <v>131</v>
      </c>
      <c r="F22" s="12" t="s">
        <v>135</v>
      </c>
      <c r="G22" s="44" t="s">
        <v>157</v>
      </c>
      <c r="H22" s="12" t="s">
        <v>40</v>
      </c>
      <c r="I22" s="15" t="s">
        <v>21</v>
      </c>
      <c r="J22" s="44">
        <v>1</v>
      </c>
      <c r="K22" s="13">
        <f t="shared" si="0"/>
        <v>5</v>
      </c>
      <c r="L22" s="13">
        <f t="shared" si="1"/>
        <v>50</v>
      </c>
      <c r="M22" s="13">
        <f t="shared" si="2"/>
        <v>100</v>
      </c>
      <c r="N22" s="86" t="s">
        <v>20</v>
      </c>
      <c r="O22" s="20">
        <v>0.47</v>
      </c>
      <c r="P22" s="21">
        <f t="shared" si="3"/>
        <v>2.3499999999999996</v>
      </c>
      <c r="Q22" s="20">
        <v>0.34699999999999998</v>
      </c>
      <c r="R22" s="21">
        <f t="shared" si="4"/>
        <v>17.349999999999998</v>
      </c>
      <c r="S22" s="55">
        <v>0.1963</v>
      </c>
      <c r="T22" s="21">
        <f t="shared" si="5"/>
        <v>19.63</v>
      </c>
      <c r="U22" s="113" t="s">
        <v>359</v>
      </c>
      <c r="V22" s="1"/>
      <c r="W22" s="1"/>
    </row>
    <row r="23" spans="1:23" ht="15.75" customHeight="1" thickBot="1" x14ac:dyDescent="0.3">
      <c r="A23" s="10">
        <v>20</v>
      </c>
      <c r="B23" s="108"/>
      <c r="C23" s="69" t="s">
        <v>136</v>
      </c>
      <c r="D23" s="12" t="s">
        <v>137</v>
      </c>
      <c r="E23" s="12" t="s">
        <v>131</v>
      </c>
      <c r="F23" s="12" t="s">
        <v>138</v>
      </c>
      <c r="G23" s="44" t="s">
        <v>159</v>
      </c>
      <c r="H23" s="12" t="s">
        <v>40</v>
      </c>
      <c r="I23" s="15" t="s">
        <v>21</v>
      </c>
      <c r="J23" s="44">
        <v>1</v>
      </c>
      <c r="K23" s="13">
        <f t="shared" si="0"/>
        <v>5</v>
      </c>
      <c r="L23" s="13">
        <f t="shared" si="1"/>
        <v>50</v>
      </c>
      <c r="M23" s="13">
        <f t="shared" si="2"/>
        <v>100</v>
      </c>
      <c r="N23" s="86" t="s">
        <v>20</v>
      </c>
      <c r="O23" s="20">
        <v>0.67</v>
      </c>
      <c r="P23" s="21">
        <f t="shared" si="3"/>
        <v>3.35</v>
      </c>
      <c r="Q23" s="20">
        <v>0.59099999999999997</v>
      </c>
      <c r="R23" s="21">
        <f t="shared" si="4"/>
        <v>29.549999999999997</v>
      </c>
      <c r="S23" s="55">
        <v>0.4531</v>
      </c>
      <c r="T23" s="21">
        <f t="shared" si="5"/>
        <v>45.31</v>
      </c>
      <c r="U23" s="113" t="s">
        <v>359</v>
      </c>
      <c r="V23" s="1"/>
      <c r="W23" s="1"/>
    </row>
    <row r="24" spans="1:23" ht="15.75" customHeight="1" thickBot="1" x14ac:dyDescent="0.3">
      <c r="A24" s="10">
        <v>21</v>
      </c>
      <c r="B24" s="108"/>
      <c r="C24" s="69" t="s">
        <v>139</v>
      </c>
      <c r="D24" s="12" t="s">
        <v>140</v>
      </c>
      <c r="E24" s="12" t="s">
        <v>131</v>
      </c>
      <c r="F24" s="12" t="s">
        <v>141</v>
      </c>
      <c r="G24" s="44" t="s">
        <v>46</v>
      </c>
      <c r="H24" s="12" t="s">
        <v>40</v>
      </c>
      <c r="I24" s="15" t="s">
        <v>21</v>
      </c>
      <c r="J24" s="44">
        <v>1</v>
      </c>
      <c r="K24" s="13">
        <f t="shared" si="0"/>
        <v>5</v>
      </c>
      <c r="L24" s="13">
        <f t="shared" si="1"/>
        <v>50</v>
      </c>
      <c r="M24" s="13">
        <f t="shared" si="2"/>
        <v>100</v>
      </c>
      <c r="N24" s="89" t="s">
        <v>20</v>
      </c>
      <c r="O24" s="20">
        <v>0.55000000000000004</v>
      </c>
      <c r="P24" s="21">
        <f t="shared" si="3"/>
        <v>2.75</v>
      </c>
      <c r="Q24" s="20">
        <v>0.44800000000000001</v>
      </c>
      <c r="R24" s="21">
        <f t="shared" si="4"/>
        <v>22.400000000000002</v>
      </c>
      <c r="S24" s="55">
        <v>0.30520000000000003</v>
      </c>
      <c r="T24" s="21">
        <f t="shared" si="5"/>
        <v>30.520000000000003</v>
      </c>
      <c r="U24" s="113" t="s">
        <v>359</v>
      </c>
      <c r="V24" s="1"/>
      <c r="W24" s="1"/>
    </row>
    <row r="25" spans="1:23" ht="15.75" thickBot="1" x14ac:dyDescent="0.3">
      <c r="A25" s="10">
        <v>22</v>
      </c>
      <c r="B25" s="109"/>
      <c r="C25" s="73" t="s">
        <v>142</v>
      </c>
      <c r="D25" s="6" t="s">
        <v>143</v>
      </c>
      <c r="E25" s="6" t="s">
        <v>131</v>
      </c>
      <c r="F25" s="6" t="s">
        <v>144</v>
      </c>
      <c r="G25" s="16" t="s">
        <v>160</v>
      </c>
      <c r="H25" s="6" t="s">
        <v>40</v>
      </c>
      <c r="I25" s="39" t="s">
        <v>21</v>
      </c>
      <c r="J25" s="74">
        <v>1</v>
      </c>
      <c r="K25" s="16">
        <f t="shared" si="0"/>
        <v>5</v>
      </c>
      <c r="L25" s="16">
        <f t="shared" si="1"/>
        <v>50</v>
      </c>
      <c r="M25" s="16">
        <f t="shared" si="2"/>
        <v>100</v>
      </c>
      <c r="N25" s="93" t="s">
        <v>20</v>
      </c>
      <c r="O25" s="34">
        <v>0.64</v>
      </c>
      <c r="P25" s="35">
        <f t="shared" si="3"/>
        <v>3.2</v>
      </c>
      <c r="Q25" s="34">
        <v>0.55100000000000005</v>
      </c>
      <c r="R25" s="35">
        <f t="shared" si="4"/>
        <v>27.55</v>
      </c>
      <c r="S25" s="57">
        <v>0.41110000000000002</v>
      </c>
      <c r="T25" s="35">
        <f t="shared" si="5"/>
        <v>41.11</v>
      </c>
      <c r="U25" s="75"/>
      <c r="V25" s="1"/>
      <c r="W25" s="1"/>
    </row>
    <row r="26" spans="1:23" ht="15.75" thickBot="1" x14ac:dyDescent="0.3">
      <c r="A26" s="10">
        <v>23</v>
      </c>
      <c r="B26" s="108" t="s">
        <v>167</v>
      </c>
      <c r="C26" s="81" t="s">
        <v>145</v>
      </c>
      <c r="D26" s="15" t="s">
        <v>146</v>
      </c>
      <c r="E26" s="15" t="s">
        <v>41</v>
      </c>
      <c r="F26" s="130" t="s">
        <v>147</v>
      </c>
      <c r="G26" s="82" t="s">
        <v>161</v>
      </c>
      <c r="H26" s="15" t="s">
        <v>365</v>
      </c>
      <c r="I26" s="15" t="s">
        <v>21</v>
      </c>
      <c r="J26" s="82">
        <v>1</v>
      </c>
      <c r="K26" s="40">
        <f t="shared" si="0"/>
        <v>5</v>
      </c>
      <c r="L26" s="40">
        <f t="shared" si="1"/>
        <v>50</v>
      </c>
      <c r="M26" s="40">
        <f t="shared" si="2"/>
        <v>100</v>
      </c>
      <c r="N26" s="115" t="s">
        <v>20</v>
      </c>
      <c r="O26" s="50">
        <v>6.32</v>
      </c>
      <c r="P26" s="51">
        <f t="shared" si="3"/>
        <v>31.6</v>
      </c>
      <c r="Q26" s="50">
        <v>5.2472000000000003</v>
      </c>
      <c r="R26" s="51">
        <f t="shared" si="4"/>
        <v>262.36</v>
      </c>
      <c r="S26" s="60">
        <v>4.5328999999999997</v>
      </c>
      <c r="T26" s="51">
        <f t="shared" si="5"/>
        <v>453.28999999999996</v>
      </c>
      <c r="U26" s="111" t="s">
        <v>356</v>
      </c>
      <c r="V26" s="1"/>
      <c r="W26" s="1"/>
    </row>
    <row r="27" spans="1:23" ht="15.75" thickBot="1" x14ac:dyDescent="0.3">
      <c r="A27" s="10">
        <v>24</v>
      </c>
      <c r="B27" s="108"/>
      <c r="C27" s="83" t="s">
        <v>148</v>
      </c>
      <c r="D27" s="84" t="s">
        <v>149</v>
      </c>
      <c r="E27" s="84" t="s">
        <v>41</v>
      </c>
      <c r="F27" s="84" t="s">
        <v>150</v>
      </c>
      <c r="G27" s="85" t="s">
        <v>162</v>
      </c>
      <c r="H27" s="84" t="s">
        <v>40</v>
      </c>
      <c r="I27" s="37" t="s">
        <v>21</v>
      </c>
      <c r="J27" s="85">
        <v>1</v>
      </c>
      <c r="K27" s="43">
        <f t="shared" si="0"/>
        <v>5</v>
      </c>
      <c r="L27" s="43">
        <f t="shared" si="1"/>
        <v>50</v>
      </c>
      <c r="M27" s="43">
        <f t="shared" si="2"/>
        <v>100</v>
      </c>
      <c r="N27" s="116" t="s">
        <v>20</v>
      </c>
      <c r="O27" s="64">
        <v>1.01</v>
      </c>
      <c r="P27" s="29">
        <f t="shared" si="3"/>
        <v>5.05</v>
      </c>
      <c r="Q27" s="64">
        <v>0.90959999999999996</v>
      </c>
      <c r="R27" s="29">
        <f t="shared" si="4"/>
        <v>45.48</v>
      </c>
      <c r="S27" s="65">
        <v>0.78979999999999995</v>
      </c>
      <c r="T27" s="29">
        <f t="shared" si="5"/>
        <v>78.97999999999999</v>
      </c>
      <c r="U27" s="127"/>
      <c r="V27" s="1"/>
      <c r="W27" s="1"/>
    </row>
    <row r="28" spans="1:23" ht="26.25" thickBot="1" x14ac:dyDescent="0.3">
      <c r="A28" s="10">
        <v>25</v>
      </c>
      <c r="B28" s="49" t="s">
        <v>253</v>
      </c>
      <c r="C28" s="138" t="s">
        <v>151</v>
      </c>
      <c r="D28" s="41" t="s">
        <v>152</v>
      </c>
      <c r="E28" s="41" t="s">
        <v>41</v>
      </c>
      <c r="F28" s="139" t="s">
        <v>153</v>
      </c>
      <c r="G28" s="77" t="s">
        <v>163</v>
      </c>
      <c r="H28" s="77" t="s">
        <v>357</v>
      </c>
      <c r="I28" s="41" t="s">
        <v>21</v>
      </c>
      <c r="J28" s="77">
        <v>1</v>
      </c>
      <c r="K28" s="61">
        <f t="shared" si="0"/>
        <v>5</v>
      </c>
      <c r="L28" s="61">
        <f t="shared" si="1"/>
        <v>50</v>
      </c>
      <c r="M28" s="61">
        <f t="shared" si="2"/>
        <v>100</v>
      </c>
      <c r="N28" s="140" t="s">
        <v>20</v>
      </c>
      <c r="O28" s="62">
        <v>0.68</v>
      </c>
      <c r="P28" s="63">
        <f t="shared" si="3"/>
        <v>3.4000000000000004</v>
      </c>
      <c r="Q28" s="62">
        <v>0.47</v>
      </c>
      <c r="R28" s="63">
        <f t="shared" si="4"/>
        <v>23.5</v>
      </c>
      <c r="S28" s="141">
        <v>0.42720000000000002</v>
      </c>
      <c r="T28" s="63">
        <f t="shared" si="5"/>
        <v>42.72</v>
      </c>
      <c r="U28" s="142" t="s">
        <v>358</v>
      </c>
      <c r="V28" s="1"/>
      <c r="W28" s="1"/>
    </row>
    <row r="29" spans="1:23" ht="15" customHeight="1" thickBot="1" x14ac:dyDescent="0.3">
      <c r="A29" s="10">
        <v>26</v>
      </c>
      <c r="B29" s="95" t="s">
        <v>39</v>
      </c>
      <c r="C29" s="96" t="s">
        <v>154</v>
      </c>
      <c r="D29" s="37" t="s">
        <v>155</v>
      </c>
      <c r="E29" s="37" t="s">
        <v>41</v>
      </c>
      <c r="F29" s="37" t="s">
        <v>156</v>
      </c>
      <c r="G29" s="79" t="s">
        <v>164</v>
      </c>
      <c r="H29" s="15" t="s">
        <v>40</v>
      </c>
      <c r="I29" s="37" t="s">
        <v>21</v>
      </c>
      <c r="J29" s="79">
        <v>2</v>
      </c>
      <c r="K29" s="134">
        <f t="shared" si="0"/>
        <v>10</v>
      </c>
      <c r="L29" s="134">
        <f t="shared" si="1"/>
        <v>100</v>
      </c>
      <c r="M29" s="134">
        <f t="shared" si="2"/>
        <v>200</v>
      </c>
      <c r="N29" s="114" t="s">
        <v>20</v>
      </c>
      <c r="O29" s="38">
        <v>0.65400000000000003</v>
      </c>
      <c r="P29" s="135">
        <f t="shared" si="3"/>
        <v>6.54</v>
      </c>
      <c r="Q29" s="38">
        <v>0.52359999999999995</v>
      </c>
      <c r="R29" s="135">
        <f t="shared" si="4"/>
        <v>52.359999999999992</v>
      </c>
      <c r="S29" s="136">
        <v>0.52359999999999995</v>
      </c>
      <c r="T29" s="135">
        <f t="shared" si="5"/>
        <v>104.71999999999998</v>
      </c>
      <c r="U29" s="137"/>
      <c r="V29" s="1"/>
      <c r="W29" s="1"/>
    </row>
    <row r="30" spans="1:23" ht="15.75" thickBot="1" x14ac:dyDescent="0.3">
      <c r="A30" s="10">
        <v>27</v>
      </c>
      <c r="B30" s="107" t="s">
        <v>18</v>
      </c>
      <c r="C30" s="132" t="s">
        <v>366</v>
      </c>
      <c r="D30" s="7" t="s">
        <v>169</v>
      </c>
      <c r="E30" s="7" t="s">
        <v>15</v>
      </c>
      <c r="F30" s="42" t="s">
        <v>170</v>
      </c>
      <c r="G30" s="67" t="s">
        <v>229</v>
      </c>
      <c r="H30" s="67" t="s">
        <v>341</v>
      </c>
      <c r="I30" s="7" t="s">
        <v>230</v>
      </c>
      <c r="J30" s="67">
        <v>1</v>
      </c>
      <c r="K30" s="8">
        <f t="shared" si="0"/>
        <v>5</v>
      </c>
      <c r="L30" s="8">
        <f t="shared" si="1"/>
        <v>50</v>
      </c>
      <c r="M30" s="8">
        <f t="shared" si="2"/>
        <v>100</v>
      </c>
      <c r="N30" s="131" t="s">
        <v>20</v>
      </c>
      <c r="O30" s="32">
        <v>0.1</v>
      </c>
      <c r="P30" s="33">
        <f t="shared" si="3"/>
        <v>0.5</v>
      </c>
      <c r="Q30" s="32">
        <v>1.2E-2</v>
      </c>
      <c r="R30" s="33">
        <f t="shared" si="4"/>
        <v>0.6</v>
      </c>
      <c r="S30" s="54">
        <v>4.7000000000000002E-3</v>
      </c>
      <c r="T30" s="33">
        <f t="shared" si="5"/>
        <v>0.47000000000000003</v>
      </c>
      <c r="U30" s="80"/>
      <c r="V30" s="1"/>
      <c r="W30" s="1"/>
    </row>
    <row r="31" spans="1:23" ht="15" customHeight="1" thickBot="1" x14ac:dyDescent="0.3">
      <c r="A31" s="10">
        <v>28</v>
      </c>
      <c r="B31" s="108"/>
      <c r="C31" s="69" t="s">
        <v>171</v>
      </c>
      <c r="D31" s="12" t="s">
        <v>172</v>
      </c>
      <c r="E31" s="12" t="s">
        <v>173</v>
      </c>
      <c r="F31" s="12" t="s">
        <v>174</v>
      </c>
      <c r="G31" s="44" t="s">
        <v>231</v>
      </c>
      <c r="H31" s="12" t="s">
        <v>40</v>
      </c>
      <c r="I31" s="12" t="s">
        <v>232</v>
      </c>
      <c r="J31" s="44">
        <v>1</v>
      </c>
      <c r="K31" s="13">
        <f t="shared" si="0"/>
        <v>5</v>
      </c>
      <c r="L31" s="13">
        <f t="shared" si="1"/>
        <v>50</v>
      </c>
      <c r="M31" s="13">
        <f t="shared" si="2"/>
        <v>100</v>
      </c>
      <c r="N31" s="86" t="s">
        <v>20</v>
      </c>
      <c r="O31" s="20">
        <v>0.1</v>
      </c>
      <c r="P31" s="21">
        <f t="shared" si="3"/>
        <v>0.5</v>
      </c>
      <c r="Q31" s="20">
        <v>2.7E-2</v>
      </c>
      <c r="R31" s="21">
        <f t="shared" si="4"/>
        <v>1.35</v>
      </c>
      <c r="S31" s="55">
        <v>1.09E-2</v>
      </c>
      <c r="T31" s="21">
        <f t="shared" si="5"/>
        <v>1.0900000000000001</v>
      </c>
      <c r="U31" s="72"/>
      <c r="V31" s="1"/>
      <c r="W31" s="1"/>
    </row>
    <row r="32" spans="1:23" ht="15" customHeight="1" thickBot="1" x14ac:dyDescent="0.3">
      <c r="A32" s="10">
        <v>29</v>
      </c>
      <c r="B32" s="108"/>
      <c r="C32" s="69" t="s">
        <v>175</v>
      </c>
      <c r="D32" s="12" t="s">
        <v>176</v>
      </c>
      <c r="E32" s="12" t="s">
        <v>15</v>
      </c>
      <c r="F32" s="12" t="s">
        <v>177</v>
      </c>
      <c r="G32" s="44" t="s">
        <v>100</v>
      </c>
      <c r="H32" s="12" t="s">
        <v>40</v>
      </c>
      <c r="I32" s="12" t="s">
        <v>233</v>
      </c>
      <c r="J32" s="44">
        <v>7</v>
      </c>
      <c r="K32" s="13">
        <f t="shared" si="0"/>
        <v>35</v>
      </c>
      <c r="L32" s="13">
        <f t="shared" si="1"/>
        <v>350</v>
      </c>
      <c r="M32" s="13">
        <f t="shared" si="2"/>
        <v>700</v>
      </c>
      <c r="N32" s="86" t="s">
        <v>20</v>
      </c>
      <c r="O32" s="20">
        <v>1.2999999999999999E-2</v>
      </c>
      <c r="P32" s="21">
        <f t="shared" si="3"/>
        <v>0.45499999999999996</v>
      </c>
      <c r="Q32" s="20">
        <v>5.4000000000000003E-3</v>
      </c>
      <c r="R32" s="21">
        <f t="shared" si="4"/>
        <v>1.8900000000000001</v>
      </c>
      <c r="S32" s="55">
        <v>5.4000000000000003E-3</v>
      </c>
      <c r="T32" s="21">
        <f t="shared" si="5"/>
        <v>3.7800000000000002</v>
      </c>
      <c r="U32" s="72"/>
      <c r="V32" s="1"/>
      <c r="W32" s="1"/>
    </row>
    <row r="33" spans="1:23" ht="15.75" thickBot="1" x14ac:dyDescent="0.3">
      <c r="A33" s="10">
        <v>30</v>
      </c>
      <c r="B33" s="108"/>
      <c r="C33" s="69" t="s">
        <v>178</v>
      </c>
      <c r="D33" s="12" t="s">
        <v>24</v>
      </c>
      <c r="E33" s="12" t="s">
        <v>15</v>
      </c>
      <c r="F33" s="12" t="s">
        <v>179</v>
      </c>
      <c r="G33" s="44" t="s">
        <v>100</v>
      </c>
      <c r="H33" s="12" t="s">
        <v>40</v>
      </c>
      <c r="I33" s="12" t="s">
        <v>234</v>
      </c>
      <c r="J33" s="44">
        <v>1</v>
      </c>
      <c r="K33" s="13">
        <f t="shared" si="0"/>
        <v>5</v>
      </c>
      <c r="L33" s="13">
        <f t="shared" si="1"/>
        <v>50</v>
      </c>
      <c r="M33" s="13">
        <f t="shared" si="2"/>
        <v>100</v>
      </c>
      <c r="N33" s="86" t="s">
        <v>20</v>
      </c>
      <c r="O33" s="20">
        <v>0.1</v>
      </c>
      <c r="P33" s="21">
        <f t="shared" si="3"/>
        <v>0.5</v>
      </c>
      <c r="Q33" s="20">
        <v>1.6E-2</v>
      </c>
      <c r="R33" s="21">
        <f t="shared" si="4"/>
        <v>0.8</v>
      </c>
      <c r="S33" s="55">
        <v>6.6E-3</v>
      </c>
      <c r="T33" s="21">
        <f t="shared" si="5"/>
        <v>0.66</v>
      </c>
      <c r="U33" s="72"/>
      <c r="V33" s="1"/>
      <c r="W33" s="1"/>
    </row>
    <row r="34" spans="1:23" ht="15.75" thickBot="1" x14ac:dyDescent="0.3">
      <c r="A34" s="10">
        <v>31</v>
      </c>
      <c r="B34" s="108"/>
      <c r="C34" s="69" t="s">
        <v>180</v>
      </c>
      <c r="D34" s="12" t="s">
        <v>181</v>
      </c>
      <c r="E34" s="12" t="s">
        <v>15</v>
      </c>
      <c r="F34" s="12" t="s">
        <v>182</v>
      </c>
      <c r="G34" s="44" t="s">
        <v>100</v>
      </c>
      <c r="H34" s="12" t="s">
        <v>40</v>
      </c>
      <c r="I34" s="12" t="s">
        <v>235</v>
      </c>
      <c r="J34" s="44">
        <v>1</v>
      </c>
      <c r="K34" s="13">
        <f t="shared" si="0"/>
        <v>5</v>
      </c>
      <c r="L34" s="13">
        <f t="shared" si="1"/>
        <v>50</v>
      </c>
      <c r="M34" s="13">
        <f t="shared" si="2"/>
        <v>100</v>
      </c>
      <c r="N34" s="86" t="s">
        <v>20</v>
      </c>
      <c r="O34" s="20">
        <v>0.1</v>
      </c>
      <c r="P34" s="21">
        <f t="shared" si="3"/>
        <v>0.5</v>
      </c>
      <c r="Q34" s="20">
        <v>2.1999999999999999E-2</v>
      </c>
      <c r="R34" s="21">
        <f t="shared" si="4"/>
        <v>1.0999999999999999</v>
      </c>
      <c r="S34" s="55">
        <v>8.9999999999999993E-3</v>
      </c>
      <c r="T34" s="21">
        <f t="shared" si="5"/>
        <v>0.89999999999999991</v>
      </c>
      <c r="U34" s="72"/>
      <c r="V34" s="1"/>
      <c r="W34" s="1"/>
    </row>
    <row r="35" spans="1:23" ht="15.75" thickBot="1" x14ac:dyDescent="0.3">
      <c r="A35" s="10">
        <v>32</v>
      </c>
      <c r="B35" s="108"/>
      <c r="C35" s="69" t="s">
        <v>183</v>
      </c>
      <c r="D35" s="12" t="s">
        <v>184</v>
      </c>
      <c r="E35" s="12" t="s">
        <v>15</v>
      </c>
      <c r="F35" s="12" t="s">
        <v>185</v>
      </c>
      <c r="G35" s="44" t="s">
        <v>100</v>
      </c>
      <c r="H35" s="12" t="s">
        <v>40</v>
      </c>
      <c r="I35" s="12" t="s">
        <v>236</v>
      </c>
      <c r="J35" s="44">
        <v>1</v>
      </c>
      <c r="K35" s="13">
        <f t="shared" si="0"/>
        <v>5</v>
      </c>
      <c r="L35" s="13">
        <f t="shared" si="1"/>
        <v>50</v>
      </c>
      <c r="M35" s="13">
        <f t="shared" si="2"/>
        <v>100</v>
      </c>
      <c r="N35" s="86" t="s">
        <v>20</v>
      </c>
      <c r="O35" s="20">
        <v>0.1</v>
      </c>
      <c r="P35" s="21">
        <f t="shared" si="3"/>
        <v>0.5</v>
      </c>
      <c r="Q35" s="20">
        <v>2.1999999999999999E-2</v>
      </c>
      <c r="R35" s="21">
        <f t="shared" si="4"/>
        <v>1.0999999999999999</v>
      </c>
      <c r="S35" s="55">
        <v>8.9999999999999993E-3</v>
      </c>
      <c r="T35" s="21">
        <f t="shared" si="5"/>
        <v>0.89999999999999991</v>
      </c>
      <c r="U35" s="72"/>
      <c r="V35" s="1"/>
      <c r="W35" s="1"/>
    </row>
    <row r="36" spans="1:23" ht="15.75" thickBot="1" x14ac:dyDescent="0.3">
      <c r="A36" s="10">
        <v>33</v>
      </c>
      <c r="B36" s="108"/>
      <c r="C36" s="69" t="s">
        <v>186</v>
      </c>
      <c r="D36" s="12" t="s">
        <v>187</v>
      </c>
      <c r="E36" s="12" t="s">
        <v>15</v>
      </c>
      <c r="F36" s="24" t="s">
        <v>188</v>
      </c>
      <c r="G36" s="44" t="s">
        <v>237</v>
      </c>
      <c r="H36" s="26" t="s">
        <v>332</v>
      </c>
      <c r="I36" s="12" t="s">
        <v>17</v>
      </c>
      <c r="J36" s="44">
        <v>5</v>
      </c>
      <c r="K36" s="13">
        <f t="shared" si="0"/>
        <v>25</v>
      </c>
      <c r="L36" s="13">
        <f t="shared" si="1"/>
        <v>250</v>
      </c>
      <c r="M36" s="13">
        <f t="shared" si="2"/>
        <v>500</v>
      </c>
      <c r="N36" s="86" t="s">
        <v>20</v>
      </c>
      <c r="O36" s="20">
        <v>0.223</v>
      </c>
      <c r="P36" s="21">
        <f t="shared" si="3"/>
        <v>5.5750000000000002</v>
      </c>
      <c r="Q36" s="20">
        <v>8.6999999999999994E-2</v>
      </c>
      <c r="R36" s="21">
        <f t="shared" si="4"/>
        <v>21.75</v>
      </c>
      <c r="S36" s="55">
        <v>8.6999999999999994E-2</v>
      </c>
      <c r="T36" s="21">
        <f t="shared" si="5"/>
        <v>43.5</v>
      </c>
      <c r="U36" s="72"/>
      <c r="V36" s="1"/>
      <c r="W36" s="1"/>
    </row>
    <row r="37" spans="1:23" ht="15.75" thickBot="1" x14ac:dyDescent="0.3">
      <c r="A37" s="10">
        <v>34</v>
      </c>
      <c r="B37" s="108"/>
      <c r="C37" s="69" t="s">
        <v>189</v>
      </c>
      <c r="D37" s="12" t="s">
        <v>190</v>
      </c>
      <c r="E37" s="12" t="s">
        <v>15</v>
      </c>
      <c r="F37" s="12" t="s">
        <v>191</v>
      </c>
      <c r="G37" s="44" t="s">
        <v>100</v>
      </c>
      <c r="H37" s="12" t="s">
        <v>40</v>
      </c>
      <c r="I37" s="12" t="s">
        <v>238</v>
      </c>
      <c r="J37" s="44">
        <v>1</v>
      </c>
      <c r="K37" s="13">
        <f t="shared" si="0"/>
        <v>5</v>
      </c>
      <c r="L37" s="13">
        <f t="shared" si="1"/>
        <v>50</v>
      </c>
      <c r="M37" s="13">
        <f t="shared" si="2"/>
        <v>100</v>
      </c>
      <c r="N37" s="86" t="s">
        <v>329</v>
      </c>
      <c r="O37" s="20">
        <v>0.10100000000000001</v>
      </c>
      <c r="P37" s="21">
        <f t="shared" si="3"/>
        <v>0.505</v>
      </c>
      <c r="Q37" s="20">
        <v>1.6E-2</v>
      </c>
      <c r="R37" s="21">
        <f t="shared" si="4"/>
        <v>0.8</v>
      </c>
      <c r="S37" s="55">
        <v>7.0000000000000001E-3</v>
      </c>
      <c r="T37" s="21">
        <f t="shared" si="5"/>
        <v>0.70000000000000007</v>
      </c>
      <c r="U37" s="72"/>
      <c r="V37" s="1"/>
      <c r="W37" s="1"/>
    </row>
    <row r="38" spans="1:23" ht="15.75" thickBot="1" x14ac:dyDescent="0.3">
      <c r="A38" s="10">
        <v>35</v>
      </c>
      <c r="B38" s="108"/>
      <c r="C38" s="69" t="s">
        <v>192</v>
      </c>
      <c r="D38" s="12" t="s">
        <v>193</v>
      </c>
      <c r="E38" s="12" t="s">
        <v>15</v>
      </c>
      <c r="F38" s="24" t="s">
        <v>194</v>
      </c>
      <c r="G38" s="44" t="s">
        <v>237</v>
      </c>
      <c r="H38" s="44" t="s">
        <v>333</v>
      </c>
      <c r="I38" s="12" t="s">
        <v>239</v>
      </c>
      <c r="J38" s="44">
        <v>1</v>
      </c>
      <c r="K38" s="13">
        <f t="shared" si="0"/>
        <v>5</v>
      </c>
      <c r="L38" s="13">
        <f t="shared" si="1"/>
        <v>50</v>
      </c>
      <c r="M38" s="13">
        <f t="shared" si="2"/>
        <v>100</v>
      </c>
      <c r="N38" s="86" t="s">
        <v>20</v>
      </c>
      <c r="O38" s="20">
        <v>0.1</v>
      </c>
      <c r="P38" s="21">
        <f t="shared" si="3"/>
        <v>0.5</v>
      </c>
      <c r="Q38" s="20">
        <v>1.4999999999999999E-2</v>
      </c>
      <c r="R38" s="21">
        <f t="shared" si="4"/>
        <v>0.75</v>
      </c>
      <c r="S38" s="55">
        <v>6.1000000000000004E-3</v>
      </c>
      <c r="T38" s="21">
        <f t="shared" si="5"/>
        <v>0.61</v>
      </c>
      <c r="U38" s="72"/>
      <c r="V38" s="1"/>
      <c r="W38" s="1"/>
    </row>
    <row r="39" spans="1:23" ht="15.75" thickBot="1" x14ac:dyDescent="0.3">
      <c r="A39" s="10">
        <v>36</v>
      </c>
      <c r="B39" s="108"/>
      <c r="C39" s="69" t="s">
        <v>195</v>
      </c>
      <c r="D39" s="12" t="s">
        <v>196</v>
      </c>
      <c r="E39" s="12" t="s">
        <v>15</v>
      </c>
      <c r="F39" s="24" t="s">
        <v>197</v>
      </c>
      <c r="G39" s="44" t="s">
        <v>100</v>
      </c>
      <c r="H39" s="44" t="s">
        <v>334</v>
      </c>
      <c r="I39" s="12" t="s">
        <v>240</v>
      </c>
      <c r="J39" s="44">
        <v>4</v>
      </c>
      <c r="K39" s="13">
        <f t="shared" si="0"/>
        <v>20</v>
      </c>
      <c r="L39" s="13">
        <f t="shared" si="1"/>
        <v>200</v>
      </c>
      <c r="M39" s="13">
        <f t="shared" si="2"/>
        <v>400</v>
      </c>
      <c r="N39" s="86" t="s">
        <v>20</v>
      </c>
      <c r="O39" s="20">
        <v>1.2E-2</v>
      </c>
      <c r="P39" s="21">
        <f t="shared" si="3"/>
        <v>0.24</v>
      </c>
      <c r="Q39" s="20">
        <v>4.7000000000000002E-3</v>
      </c>
      <c r="R39" s="21">
        <f t="shared" si="4"/>
        <v>0.94000000000000006</v>
      </c>
      <c r="S39" s="55">
        <v>3.5999999999999999E-3</v>
      </c>
      <c r="T39" s="21">
        <f t="shared" si="5"/>
        <v>1.44</v>
      </c>
      <c r="U39" s="72"/>
      <c r="V39" s="1"/>
      <c r="W39" s="1"/>
    </row>
    <row r="40" spans="1:23" ht="15.75" thickBot="1" x14ac:dyDescent="0.3">
      <c r="A40" s="10">
        <v>37</v>
      </c>
      <c r="B40" s="108"/>
      <c r="C40" s="69" t="s">
        <v>343</v>
      </c>
      <c r="D40" s="12" t="s">
        <v>198</v>
      </c>
      <c r="E40" s="12" t="s">
        <v>15</v>
      </c>
      <c r="F40" s="24" t="s">
        <v>199</v>
      </c>
      <c r="G40" s="44" t="s">
        <v>241</v>
      </c>
      <c r="H40" s="44" t="s">
        <v>342</v>
      </c>
      <c r="I40" s="12" t="s">
        <v>26</v>
      </c>
      <c r="J40" s="44">
        <v>3</v>
      </c>
      <c r="K40" s="13">
        <f t="shared" si="0"/>
        <v>15</v>
      </c>
      <c r="L40" s="13">
        <f t="shared" si="1"/>
        <v>150</v>
      </c>
      <c r="M40" s="13">
        <f t="shared" si="2"/>
        <v>300</v>
      </c>
      <c r="N40" s="86" t="s">
        <v>20</v>
      </c>
      <c r="O40" s="20">
        <v>2.7E-2</v>
      </c>
      <c r="P40" s="21">
        <f t="shared" si="3"/>
        <v>0.40499999999999997</v>
      </c>
      <c r="Q40" s="20">
        <v>1.11E-2</v>
      </c>
      <c r="R40" s="21">
        <f t="shared" si="4"/>
        <v>1.665</v>
      </c>
      <c r="S40" s="55">
        <v>1.11E-2</v>
      </c>
      <c r="T40" s="21">
        <f t="shared" si="5"/>
        <v>3.33</v>
      </c>
      <c r="U40" s="72"/>
      <c r="V40" s="1"/>
      <c r="W40" s="1"/>
    </row>
    <row r="41" spans="1:23" ht="15.75" thickBot="1" x14ac:dyDescent="0.3">
      <c r="A41" s="10">
        <v>38</v>
      </c>
      <c r="B41" s="108"/>
      <c r="C41" s="69" t="s">
        <v>345</v>
      </c>
      <c r="D41" s="12" t="s">
        <v>200</v>
      </c>
      <c r="E41" s="12" t="s">
        <v>201</v>
      </c>
      <c r="F41" s="24" t="s">
        <v>202</v>
      </c>
      <c r="G41" s="44" t="s">
        <v>242</v>
      </c>
      <c r="H41" s="44" t="s">
        <v>344</v>
      </c>
      <c r="I41" s="12" t="s">
        <v>243</v>
      </c>
      <c r="J41" s="44">
        <v>1</v>
      </c>
      <c r="K41" s="13">
        <f t="shared" si="0"/>
        <v>5</v>
      </c>
      <c r="L41" s="13">
        <f t="shared" si="1"/>
        <v>50</v>
      </c>
      <c r="M41" s="13">
        <f t="shared" si="2"/>
        <v>100</v>
      </c>
      <c r="N41" s="86" t="s">
        <v>20</v>
      </c>
      <c r="O41" s="20">
        <v>0.1</v>
      </c>
      <c r="P41" s="21">
        <f t="shared" si="3"/>
        <v>0.5</v>
      </c>
      <c r="Q41" s="20">
        <v>1.7000000000000001E-2</v>
      </c>
      <c r="R41" s="21">
        <f t="shared" si="4"/>
        <v>0.85000000000000009</v>
      </c>
      <c r="S41" s="55">
        <v>6.7999999999999996E-3</v>
      </c>
      <c r="T41" s="21">
        <f t="shared" si="5"/>
        <v>0.67999999999999994</v>
      </c>
      <c r="U41" s="72"/>
      <c r="V41" s="1"/>
      <c r="W41" s="1"/>
    </row>
    <row r="42" spans="1:23" ht="15.75" thickBot="1" x14ac:dyDescent="0.3">
      <c r="A42" s="10">
        <v>39</v>
      </c>
      <c r="B42" s="108"/>
      <c r="C42" s="69" t="s">
        <v>203</v>
      </c>
      <c r="D42" s="12" t="s">
        <v>204</v>
      </c>
      <c r="E42" s="12" t="s">
        <v>15</v>
      </c>
      <c r="F42" s="12" t="s">
        <v>205</v>
      </c>
      <c r="G42" s="44" t="s">
        <v>100</v>
      </c>
      <c r="H42" s="12" t="s">
        <v>40</v>
      </c>
      <c r="I42" s="12" t="s">
        <v>244</v>
      </c>
      <c r="J42" s="44">
        <v>3</v>
      </c>
      <c r="K42" s="13">
        <f t="shared" si="0"/>
        <v>15</v>
      </c>
      <c r="L42" s="13">
        <f t="shared" si="1"/>
        <v>150</v>
      </c>
      <c r="M42" s="13">
        <f t="shared" si="2"/>
        <v>300</v>
      </c>
      <c r="N42" s="86" t="s">
        <v>20</v>
      </c>
      <c r="O42" s="20">
        <v>1.6E-2</v>
      </c>
      <c r="P42" s="21">
        <f t="shared" si="3"/>
        <v>0.24</v>
      </c>
      <c r="Q42" s="20">
        <v>6.6E-3</v>
      </c>
      <c r="R42" s="21">
        <f t="shared" si="4"/>
        <v>0.99</v>
      </c>
      <c r="S42" s="55">
        <v>6.6E-3</v>
      </c>
      <c r="T42" s="21">
        <f t="shared" si="5"/>
        <v>1.98</v>
      </c>
      <c r="U42" s="72"/>
      <c r="V42" s="1"/>
      <c r="W42" s="1"/>
    </row>
    <row r="43" spans="1:23" ht="15.75" thickBot="1" x14ac:dyDescent="0.3">
      <c r="A43" s="10">
        <v>40</v>
      </c>
      <c r="B43" s="108"/>
      <c r="C43" s="69" t="s">
        <v>206</v>
      </c>
      <c r="D43" s="12" t="s">
        <v>207</v>
      </c>
      <c r="E43" s="12" t="s">
        <v>15</v>
      </c>
      <c r="F43" s="24" t="s">
        <v>208</v>
      </c>
      <c r="G43" s="44" t="s">
        <v>98</v>
      </c>
      <c r="H43" s="44" t="s">
        <v>335</v>
      </c>
      <c r="I43" s="12" t="s">
        <v>245</v>
      </c>
      <c r="J43" s="44">
        <v>2</v>
      </c>
      <c r="K43" s="13">
        <f t="shared" si="0"/>
        <v>10</v>
      </c>
      <c r="L43" s="13">
        <f t="shared" si="1"/>
        <v>100</v>
      </c>
      <c r="M43" s="13">
        <f t="shared" si="2"/>
        <v>200</v>
      </c>
      <c r="N43" s="86" t="s">
        <v>20</v>
      </c>
      <c r="O43" s="20">
        <v>1.2999999999999999E-2</v>
      </c>
      <c r="P43" s="21">
        <f t="shared" si="3"/>
        <v>0.13</v>
      </c>
      <c r="Q43" s="20">
        <v>5.4000000000000003E-3</v>
      </c>
      <c r="R43" s="21">
        <f t="shared" si="4"/>
        <v>0.54</v>
      </c>
      <c r="S43" s="55">
        <v>5.4000000000000003E-3</v>
      </c>
      <c r="T43" s="21">
        <f t="shared" si="5"/>
        <v>1.08</v>
      </c>
      <c r="U43" s="72"/>
      <c r="V43" s="1"/>
      <c r="W43" s="1"/>
    </row>
    <row r="44" spans="1:23" ht="15.75" thickBot="1" x14ac:dyDescent="0.3">
      <c r="A44" s="10">
        <v>41</v>
      </c>
      <c r="B44" s="108"/>
      <c r="C44" s="69" t="s">
        <v>346</v>
      </c>
      <c r="D44" s="12" t="s">
        <v>209</v>
      </c>
      <c r="E44" s="12" t="s">
        <v>210</v>
      </c>
      <c r="F44" s="24" t="s">
        <v>211</v>
      </c>
      <c r="G44" s="44" t="s">
        <v>246</v>
      </c>
      <c r="H44" s="44" t="s">
        <v>347</v>
      </c>
      <c r="I44" s="12" t="s">
        <v>247</v>
      </c>
      <c r="J44" s="44">
        <v>1</v>
      </c>
      <c r="K44" s="13">
        <f t="shared" si="0"/>
        <v>5</v>
      </c>
      <c r="L44" s="13">
        <f t="shared" si="1"/>
        <v>50</v>
      </c>
      <c r="M44" s="13">
        <f t="shared" si="2"/>
        <v>100</v>
      </c>
      <c r="N44" s="86" t="s">
        <v>20</v>
      </c>
      <c r="O44" s="20">
        <v>0.3</v>
      </c>
      <c r="P44" s="21">
        <f t="shared" si="3"/>
        <v>1.5</v>
      </c>
      <c r="Q44" s="20">
        <v>0.13339999999999999</v>
      </c>
      <c r="R44" s="21">
        <f t="shared" si="4"/>
        <v>6.67</v>
      </c>
      <c r="S44" s="55">
        <v>9.8900000000000002E-2</v>
      </c>
      <c r="T44" s="21">
        <f t="shared" si="5"/>
        <v>9.89</v>
      </c>
      <c r="U44" s="72"/>
      <c r="V44" s="1"/>
      <c r="W44" s="1"/>
    </row>
    <row r="45" spans="1:23" ht="15.75" thickBot="1" x14ac:dyDescent="0.3">
      <c r="A45" s="10">
        <v>42</v>
      </c>
      <c r="B45" s="108"/>
      <c r="C45" s="69" t="s">
        <v>212</v>
      </c>
      <c r="D45" s="12" t="s">
        <v>213</v>
      </c>
      <c r="E45" s="12" t="s">
        <v>15</v>
      </c>
      <c r="F45" s="24" t="s">
        <v>214</v>
      </c>
      <c r="G45" s="44" t="s">
        <v>100</v>
      </c>
      <c r="H45" s="44" t="s">
        <v>348</v>
      </c>
      <c r="I45" s="12" t="s">
        <v>25</v>
      </c>
      <c r="J45" s="44">
        <v>2</v>
      </c>
      <c r="K45" s="13">
        <f t="shared" si="0"/>
        <v>10</v>
      </c>
      <c r="L45" s="13">
        <f t="shared" si="1"/>
        <v>100</v>
      </c>
      <c r="M45" s="13">
        <f t="shared" si="2"/>
        <v>200</v>
      </c>
      <c r="N45" s="86" t="s">
        <v>20</v>
      </c>
      <c r="O45" s="20">
        <v>1.2E-2</v>
      </c>
      <c r="P45" s="21">
        <f t="shared" si="3"/>
        <v>0.12</v>
      </c>
      <c r="Q45" s="20">
        <v>4.7000000000000002E-3</v>
      </c>
      <c r="R45" s="21">
        <f t="shared" si="4"/>
        <v>0.47000000000000003</v>
      </c>
      <c r="S45" s="55">
        <v>4.7000000000000002E-3</v>
      </c>
      <c r="T45" s="21">
        <f t="shared" si="5"/>
        <v>0.94000000000000006</v>
      </c>
      <c r="U45" s="72"/>
      <c r="V45" s="1"/>
      <c r="W45" s="1"/>
    </row>
    <row r="46" spans="1:23" ht="15.75" thickBot="1" x14ac:dyDescent="0.3">
      <c r="A46" s="10">
        <v>43</v>
      </c>
      <c r="B46" s="108"/>
      <c r="C46" s="69" t="s">
        <v>215</v>
      </c>
      <c r="D46" s="12" t="s">
        <v>216</v>
      </c>
      <c r="E46" s="12" t="s">
        <v>15</v>
      </c>
      <c r="F46" s="12" t="s">
        <v>217</v>
      </c>
      <c r="G46" s="44" t="s">
        <v>100</v>
      </c>
      <c r="H46" s="12" t="s">
        <v>40</v>
      </c>
      <c r="I46" s="12" t="s">
        <v>248</v>
      </c>
      <c r="J46" s="44">
        <v>1</v>
      </c>
      <c r="K46" s="13">
        <f t="shared" si="0"/>
        <v>5</v>
      </c>
      <c r="L46" s="13">
        <f t="shared" si="1"/>
        <v>50</v>
      </c>
      <c r="M46" s="13">
        <f t="shared" si="2"/>
        <v>100</v>
      </c>
      <c r="N46" s="86" t="s">
        <v>20</v>
      </c>
      <c r="O46" s="20">
        <v>0.1</v>
      </c>
      <c r="P46" s="21">
        <f t="shared" si="3"/>
        <v>0.5</v>
      </c>
      <c r="Q46" s="20">
        <v>2.1999999999999999E-2</v>
      </c>
      <c r="R46" s="21">
        <f t="shared" si="4"/>
        <v>1.0999999999999999</v>
      </c>
      <c r="S46" s="55">
        <v>8.9999999999999993E-3</v>
      </c>
      <c r="T46" s="21">
        <f t="shared" si="5"/>
        <v>0.89999999999999991</v>
      </c>
      <c r="U46" s="72"/>
      <c r="V46" s="1"/>
      <c r="W46" s="1"/>
    </row>
    <row r="47" spans="1:23" ht="15.75" thickBot="1" x14ac:dyDescent="0.3">
      <c r="A47" s="10">
        <v>44</v>
      </c>
      <c r="B47" s="108"/>
      <c r="C47" s="69" t="s">
        <v>218</v>
      </c>
      <c r="D47" s="12" t="s">
        <v>219</v>
      </c>
      <c r="E47" s="12" t="s">
        <v>15</v>
      </c>
      <c r="F47" s="12" t="s">
        <v>220</v>
      </c>
      <c r="G47" s="44" t="s">
        <v>100</v>
      </c>
      <c r="H47" s="12" t="s">
        <v>40</v>
      </c>
      <c r="I47" s="12" t="s">
        <v>249</v>
      </c>
      <c r="J47" s="44">
        <v>1</v>
      </c>
      <c r="K47" s="13">
        <f t="shared" si="0"/>
        <v>5</v>
      </c>
      <c r="L47" s="13">
        <f t="shared" si="1"/>
        <v>50</v>
      </c>
      <c r="M47" s="13">
        <f t="shared" si="2"/>
        <v>100</v>
      </c>
      <c r="N47" s="86" t="s">
        <v>20</v>
      </c>
      <c r="O47" s="20">
        <v>0.1</v>
      </c>
      <c r="P47" s="21">
        <f t="shared" si="3"/>
        <v>0.5</v>
      </c>
      <c r="Q47" s="20">
        <v>1.6E-2</v>
      </c>
      <c r="R47" s="21">
        <f t="shared" si="4"/>
        <v>0.8</v>
      </c>
      <c r="S47" s="55">
        <v>6.6E-3</v>
      </c>
      <c r="T47" s="21">
        <f t="shared" si="5"/>
        <v>0.66</v>
      </c>
      <c r="U47" s="72"/>
      <c r="V47" s="1"/>
      <c r="W47" s="1"/>
    </row>
    <row r="48" spans="1:23" ht="15.75" thickBot="1" x14ac:dyDescent="0.3">
      <c r="A48" s="10">
        <v>45</v>
      </c>
      <c r="B48" s="108"/>
      <c r="C48" s="69" t="s">
        <v>221</v>
      </c>
      <c r="D48" s="12" t="s">
        <v>222</v>
      </c>
      <c r="E48" s="12" t="s">
        <v>15</v>
      </c>
      <c r="F48" s="12" t="s">
        <v>223</v>
      </c>
      <c r="G48" s="44" t="s">
        <v>100</v>
      </c>
      <c r="H48" s="12" t="s">
        <v>40</v>
      </c>
      <c r="I48" s="12" t="s">
        <v>250</v>
      </c>
      <c r="J48" s="44">
        <v>1</v>
      </c>
      <c r="K48" s="13">
        <f t="shared" si="0"/>
        <v>5</v>
      </c>
      <c r="L48" s="13">
        <f t="shared" si="1"/>
        <v>50</v>
      </c>
      <c r="M48" s="13">
        <f t="shared" si="2"/>
        <v>100</v>
      </c>
      <c r="N48" s="86" t="s">
        <v>20</v>
      </c>
      <c r="O48" s="20">
        <v>0.1</v>
      </c>
      <c r="P48" s="21">
        <f t="shared" si="3"/>
        <v>0.5</v>
      </c>
      <c r="Q48" s="20">
        <v>1.6E-2</v>
      </c>
      <c r="R48" s="21">
        <f t="shared" si="4"/>
        <v>0.8</v>
      </c>
      <c r="S48" s="55">
        <v>6.6E-3</v>
      </c>
      <c r="T48" s="21">
        <f t="shared" si="5"/>
        <v>0.66</v>
      </c>
      <c r="U48" s="72"/>
      <c r="V48" s="1"/>
      <c r="W48" s="1"/>
    </row>
    <row r="49" spans="1:23" ht="15.75" thickBot="1" x14ac:dyDescent="0.3">
      <c r="A49" s="10">
        <v>46</v>
      </c>
      <c r="B49" s="108"/>
      <c r="C49" s="69" t="s">
        <v>224</v>
      </c>
      <c r="D49" s="12" t="s">
        <v>225</v>
      </c>
      <c r="E49" s="12" t="s">
        <v>15</v>
      </c>
      <c r="F49" s="12" t="s">
        <v>226</v>
      </c>
      <c r="G49" s="44" t="s">
        <v>100</v>
      </c>
      <c r="H49" s="12" t="s">
        <v>40</v>
      </c>
      <c r="I49" s="12" t="s">
        <v>251</v>
      </c>
      <c r="J49" s="44">
        <v>1</v>
      </c>
      <c r="K49" s="13">
        <f t="shared" si="0"/>
        <v>5</v>
      </c>
      <c r="L49" s="13">
        <f t="shared" si="1"/>
        <v>50</v>
      </c>
      <c r="M49" s="13">
        <f t="shared" si="2"/>
        <v>100</v>
      </c>
      <c r="N49" s="86" t="s">
        <v>20</v>
      </c>
      <c r="O49" s="20">
        <v>0.1</v>
      </c>
      <c r="P49" s="21">
        <f t="shared" si="3"/>
        <v>0.5</v>
      </c>
      <c r="Q49" s="20">
        <v>2.1999999999999999E-2</v>
      </c>
      <c r="R49" s="21">
        <f t="shared" si="4"/>
        <v>1.0999999999999999</v>
      </c>
      <c r="S49" s="55">
        <v>8.9999999999999993E-3</v>
      </c>
      <c r="T49" s="21">
        <f t="shared" si="5"/>
        <v>0.89999999999999991</v>
      </c>
      <c r="U49" s="72"/>
      <c r="V49" s="1"/>
      <c r="W49" s="1"/>
    </row>
    <row r="50" spans="1:23" ht="15.75" thickBot="1" x14ac:dyDescent="0.3">
      <c r="A50" s="10">
        <v>47</v>
      </c>
      <c r="B50" s="109"/>
      <c r="C50" s="73" t="s">
        <v>350</v>
      </c>
      <c r="D50" s="6" t="s">
        <v>227</v>
      </c>
      <c r="E50" s="6" t="s">
        <v>15</v>
      </c>
      <c r="F50" s="28" t="s">
        <v>228</v>
      </c>
      <c r="G50" s="74" t="s">
        <v>229</v>
      </c>
      <c r="H50" s="74" t="s">
        <v>349</v>
      </c>
      <c r="I50" s="6" t="s">
        <v>252</v>
      </c>
      <c r="J50" s="74">
        <v>1</v>
      </c>
      <c r="K50" s="16">
        <f t="shared" si="0"/>
        <v>5</v>
      </c>
      <c r="L50" s="16">
        <f t="shared" si="1"/>
        <v>50</v>
      </c>
      <c r="M50" s="16">
        <f t="shared" si="2"/>
        <v>100</v>
      </c>
      <c r="N50" s="87" t="s">
        <v>20</v>
      </c>
      <c r="O50" s="34">
        <v>0.1</v>
      </c>
      <c r="P50" s="35">
        <f t="shared" si="3"/>
        <v>0.5</v>
      </c>
      <c r="Q50" s="34">
        <v>3.1E-2</v>
      </c>
      <c r="R50" s="35">
        <f t="shared" si="4"/>
        <v>1.55</v>
      </c>
      <c r="S50" s="57">
        <v>1.2500000000000001E-2</v>
      </c>
      <c r="T50" s="35">
        <f t="shared" si="5"/>
        <v>1.25</v>
      </c>
      <c r="U50" s="75"/>
      <c r="V50" s="1"/>
      <c r="W50" s="1"/>
    </row>
    <row r="51" spans="1:23" ht="15.75" thickBot="1" x14ac:dyDescent="0.3">
      <c r="A51" s="10">
        <v>48</v>
      </c>
      <c r="B51" s="107" t="s">
        <v>38</v>
      </c>
      <c r="C51" s="66" t="s">
        <v>254</v>
      </c>
      <c r="D51" s="7" t="s">
        <v>27</v>
      </c>
      <c r="E51" s="7" t="s">
        <v>338</v>
      </c>
      <c r="F51" s="7" t="s">
        <v>255</v>
      </c>
      <c r="G51" s="67" t="s">
        <v>280</v>
      </c>
      <c r="H51" s="7" t="s">
        <v>40</v>
      </c>
      <c r="I51" s="7" t="s">
        <v>21</v>
      </c>
      <c r="J51" s="67">
        <v>1</v>
      </c>
      <c r="K51" s="8">
        <f t="shared" si="0"/>
        <v>5</v>
      </c>
      <c r="L51" s="8">
        <f t="shared" si="1"/>
        <v>50</v>
      </c>
      <c r="M51" s="8">
        <f t="shared" si="2"/>
        <v>100</v>
      </c>
      <c r="N51" s="92" t="s">
        <v>20</v>
      </c>
      <c r="O51" s="32">
        <v>1.2</v>
      </c>
      <c r="P51" s="33">
        <f t="shared" si="3"/>
        <v>6</v>
      </c>
      <c r="Q51" s="32">
        <v>1.2</v>
      </c>
      <c r="R51" s="33">
        <f t="shared" si="4"/>
        <v>60</v>
      </c>
      <c r="S51" s="54">
        <v>1</v>
      </c>
      <c r="T51" s="33">
        <f t="shared" si="5"/>
        <v>100</v>
      </c>
      <c r="U51" s="128" t="s">
        <v>359</v>
      </c>
      <c r="V51" s="1"/>
      <c r="W51" s="1"/>
    </row>
    <row r="52" spans="1:23" ht="15.75" thickBot="1" x14ac:dyDescent="0.3">
      <c r="A52" s="10">
        <v>49</v>
      </c>
      <c r="B52" s="108"/>
      <c r="C52" s="69" t="s">
        <v>256</v>
      </c>
      <c r="D52" s="12" t="s">
        <v>257</v>
      </c>
      <c r="E52" s="12" t="s">
        <v>339</v>
      </c>
      <c r="F52" s="12" t="s">
        <v>258</v>
      </c>
      <c r="G52" s="44" t="s">
        <v>281</v>
      </c>
      <c r="H52" s="12" t="s">
        <v>40</v>
      </c>
      <c r="I52" s="12" t="s">
        <v>21</v>
      </c>
      <c r="J52" s="44">
        <v>1</v>
      </c>
      <c r="K52" s="13">
        <f t="shared" si="0"/>
        <v>5</v>
      </c>
      <c r="L52" s="13">
        <f t="shared" si="1"/>
        <v>50</v>
      </c>
      <c r="M52" s="13">
        <f t="shared" si="2"/>
        <v>100</v>
      </c>
      <c r="N52" s="86" t="s">
        <v>329</v>
      </c>
      <c r="O52" s="20">
        <v>0.65400000000000003</v>
      </c>
      <c r="P52" s="21">
        <f t="shared" si="3"/>
        <v>3.27</v>
      </c>
      <c r="Q52" s="20">
        <v>0.57599999999999996</v>
      </c>
      <c r="R52" s="21">
        <f t="shared" si="4"/>
        <v>28.799999999999997</v>
      </c>
      <c r="S52" s="55">
        <v>0.442</v>
      </c>
      <c r="T52" s="21">
        <f t="shared" si="5"/>
        <v>44.2</v>
      </c>
      <c r="U52" s="113" t="s">
        <v>359</v>
      </c>
      <c r="V52" s="1"/>
      <c r="W52" s="1"/>
    </row>
    <row r="53" spans="1:23" ht="15.75" thickBot="1" x14ac:dyDescent="0.3">
      <c r="A53" s="10">
        <v>50</v>
      </c>
      <c r="B53" s="108"/>
      <c r="C53" s="69" t="s">
        <v>259</v>
      </c>
      <c r="D53" s="12" t="s">
        <v>260</v>
      </c>
      <c r="E53" s="12" t="s">
        <v>131</v>
      </c>
      <c r="F53" s="12" t="s">
        <v>261</v>
      </c>
      <c r="G53" s="44" t="s">
        <v>159</v>
      </c>
      <c r="H53" s="12" t="s">
        <v>40</v>
      </c>
      <c r="I53" s="12" t="s">
        <v>21</v>
      </c>
      <c r="J53" s="44">
        <v>1</v>
      </c>
      <c r="K53" s="13">
        <f t="shared" si="0"/>
        <v>5</v>
      </c>
      <c r="L53" s="13">
        <f t="shared" si="1"/>
        <v>50</v>
      </c>
      <c r="M53" s="13">
        <f t="shared" si="2"/>
        <v>100</v>
      </c>
      <c r="N53" s="86" t="s">
        <v>20</v>
      </c>
      <c r="O53" s="20">
        <v>0.54</v>
      </c>
      <c r="P53" s="21">
        <f t="shared" si="3"/>
        <v>2.7</v>
      </c>
      <c r="Q53" s="20">
        <v>0.4284</v>
      </c>
      <c r="R53" s="21">
        <f t="shared" si="4"/>
        <v>21.42</v>
      </c>
      <c r="S53" s="55">
        <v>0.34279999999999999</v>
      </c>
      <c r="T53" s="21">
        <f t="shared" si="5"/>
        <v>34.28</v>
      </c>
      <c r="U53" s="113" t="s">
        <v>359</v>
      </c>
      <c r="V53" s="1"/>
      <c r="W53" s="1"/>
    </row>
    <row r="54" spans="1:23" ht="15.75" thickBot="1" x14ac:dyDescent="0.3">
      <c r="A54" s="10">
        <v>51</v>
      </c>
      <c r="B54" s="108"/>
      <c r="C54" s="69" t="s">
        <v>262</v>
      </c>
      <c r="D54" s="12" t="s">
        <v>28</v>
      </c>
      <c r="E54" s="12" t="s">
        <v>336</v>
      </c>
      <c r="F54" s="12" t="s">
        <v>263</v>
      </c>
      <c r="G54" s="44" t="s">
        <v>282</v>
      </c>
      <c r="H54" s="12" t="s">
        <v>40</v>
      </c>
      <c r="I54" s="12" t="s">
        <v>21</v>
      </c>
      <c r="J54" s="44">
        <v>1</v>
      </c>
      <c r="K54" s="13">
        <f t="shared" si="0"/>
        <v>5</v>
      </c>
      <c r="L54" s="13">
        <f t="shared" si="1"/>
        <v>50</v>
      </c>
      <c r="M54" s="13">
        <f t="shared" si="2"/>
        <v>100</v>
      </c>
      <c r="N54" s="86" t="s">
        <v>20</v>
      </c>
      <c r="O54" s="20">
        <v>0.38</v>
      </c>
      <c r="P54" s="21">
        <f t="shared" si="3"/>
        <v>1.9</v>
      </c>
      <c r="Q54" s="20">
        <v>0.28239999999999998</v>
      </c>
      <c r="R54" s="21">
        <f t="shared" si="4"/>
        <v>14.12</v>
      </c>
      <c r="S54" s="55">
        <v>0.21029999999999999</v>
      </c>
      <c r="T54" s="21">
        <f t="shared" si="5"/>
        <v>21.029999999999998</v>
      </c>
      <c r="U54" s="72"/>
      <c r="V54" s="1"/>
      <c r="W54" s="1"/>
    </row>
    <row r="55" spans="1:23" ht="15.75" thickBot="1" x14ac:dyDescent="0.3">
      <c r="A55" s="10">
        <v>52</v>
      </c>
      <c r="B55" s="108"/>
      <c r="C55" s="69" t="s">
        <v>264</v>
      </c>
      <c r="D55" s="12" t="s">
        <v>29</v>
      </c>
      <c r="E55" s="12" t="s">
        <v>340</v>
      </c>
      <c r="F55" s="12" t="s">
        <v>265</v>
      </c>
      <c r="G55" s="44" t="s">
        <v>283</v>
      </c>
      <c r="H55" s="12" t="s">
        <v>40</v>
      </c>
      <c r="I55" s="12" t="s">
        <v>21</v>
      </c>
      <c r="J55" s="44">
        <v>1</v>
      </c>
      <c r="K55" s="13">
        <f t="shared" si="0"/>
        <v>5</v>
      </c>
      <c r="L55" s="13">
        <f t="shared" si="1"/>
        <v>50</v>
      </c>
      <c r="M55" s="13">
        <f t="shared" si="2"/>
        <v>100</v>
      </c>
      <c r="N55" s="86" t="s">
        <v>20</v>
      </c>
      <c r="O55" s="20">
        <v>4.2300000000000004</v>
      </c>
      <c r="P55" s="21">
        <f t="shared" si="3"/>
        <v>21.150000000000002</v>
      </c>
      <c r="Q55" s="20">
        <v>3.8412000000000002</v>
      </c>
      <c r="R55" s="21">
        <f t="shared" si="4"/>
        <v>192.06</v>
      </c>
      <c r="S55" s="55">
        <v>3.8250000000000002</v>
      </c>
      <c r="T55" s="21">
        <f t="shared" si="5"/>
        <v>382.5</v>
      </c>
      <c r="U55" s="113" t="s">
        <v>359</v>
      </c>
      <c r="V55" s="1"/>
      <c r="W55" s="1"/>
    </row>
    <row r="56" spans="1:23" ht="15.75" thickBot="1" x14ac:dyDescent="0.3">
      <c r="A56" s="10">
        <v>53</v>
      </c>
      <c r="B56" s="108"/>
      <c r="C56" s="69" t="s">
        <v>266</v>
      </c>
      <c r="D56" s="12" t="s">
        <v>30</v>
      </c>
      <c r="E56" s="12" t="s">
        <v>45</v>
      </c>
      <c r="F56" s="12" t="s">
        <v>267</v>
      </c>
      <c r="G56" s="44" t="s">
        <v>44</v>
      </c>
      <c r="H56" s="12" t="s">
        <v>40</v>
      </c>
      <c r="I56" s="12" t="s">
        <v>21</v>
      </c>
      <c r="J56" s="44">
        <v>1</v>
      </c>
      <c r="K56" s="13">
        <f t="shared" si="0"/>
        <v>5</v>
      </c>
      <c r="L56" s="13">
        <f t="shared" si="1"/>
        <v>50</v>
      </c>
      <c r="M56" s="13">
        <f t="shared" si="2"/>
        <v>100</v>
      </c>
      <c r="N56" s="86" t="s">
        <v>330</v>
      </c>
      <c r="O56" s="20">
        <v>1.3006</v>
      </c>
      <c r="P56" s="21">
        <f t="shared" si="3"/>
        <v>6.5030000000000001</v>
      </c>
      <c r="Q56" s="20">
        <v>1.0849</v>
      </c>
      <c r="R56" s="21">
        <f t="shared" si="4"/>
        <v>54.244999999999997</v>
      </c>
      <c r="S56" s="55">
        <v>0.82869999999999999</v>
      </c>
      <c r="T56" s="21">
        <f t="shared" si="5"/>
        <v>82.87</v>
      </c>
      <c r="U56" s="72"/>
      <c r="V56" s="1"/>
      <c r="W56" s="1"/>
    </row>
    <row r="57" spans="1:23" ht="15.75" thickBot="1" x14ac:dyDescent="0.3">
      <c r="A57" s="10">
        <v>54</v>
      </c>
      <c r="B57" s="108"/>
      <c r="C57" s="69" t="s">
        <v>268</v>
      </c>
      <c r="D57" s="12" t="s">
        <v>31</v>
      </c>
      <c r="E57" s="12" t="s">
        <v>269</v>
      </c>
      <c r="F57" s="12" t="s">
        <v>270</v>
      </c>
      <c r="G57" s="44" t="s">
        <v>44</v>
      </c>
      <c r="H57" s="12" t="s">
        <v>40</v>
      </c>
      <c r="I57" s="12" t="s">
        <v>21</v>
      </c>
      <c r="J57" s="44">
        <v>1</v>
      </c>
      <c r="K57" s="13">
        <f t="shared" si="0"/>
        <v>5</v>
      </c>
      <c r="L57" s="13">
        <f t="shared" si="1"/>
        <v>50</v>
      </c>
      <c r="M57" s="13">
        <f t="shared" si="2"/>
        <v>100</v>
      </c>
      <c r="N57" s="86" t="s">
        <v>20</v>
      </c>
      <c r="O57" s="20">
        <v>2.4</v>
      </c>
      <c r="P57" s="21">
        <f t="shared" si="3"/>
        <v>12</v>
      </c>
      <c r="Q57" s="20">
        <v>2.0352000000000001</v>
      </c>
      <c r="R57" s="21">
        <f t="shared" si="4"/>
        <v>101.76</v>
      </c>
      <c r="S57" s="55">
        <v>1.734</v>
      </c>
      <c r="T57" s="21">
        <f t="shared" si="5"/>
        <v>173.4</v>
      </c>
      <c r="U57" s="113" t="s">
        <v>359</v>
      </c>
      <c r="V57" s="1"/>
      <c r="W57" s="1"/>
    </row>
    <row r="58" spans="1:23" ht="15.75" customHeight="1" thickBot="1" x14ac:dyDescent="0.3">
      <c r="A58" s="10">
        <v>55</v>
      </c>
      <c r="B58" s="108"/>
      <c r="C58" s="69" t="s">
        <v>271</v>
      </c>
      <c r="D58" s="12" t="s">
        <v>32</v>
      </c>
      <c r="E58" s="12" t="s">
        <v>336</v>
      </c>
      <c r="F58" s="12" t="s">
        <v>272</v>
      </c>
      <c r="G58" s="44" t="s">
        <v>283</v>
      </c>
      <c r="H58" s="12" t="s">
        <v>40</v>
      </c>
      <c r="I58" s="12" t="s">
        <v>21</v>
      </c>
      <c r="J58" s="44">
        <v>1</v>
      </c>
      <c r="K58" s="13">
        <f t="shared" si="0"/>
        <v>5</v>
      </c>
      <c r="L58" s="13">
        <f t="shared" si="1"/>
        <v>50</v>
      </c>
      <c r="M58" s="13">
        <f t="shared" si="2"/>
        <v>100</v>
      </c>
      <c r="N58" s="86" t="s">
        <v>20</v>
      </c>
      <c r="O58" s="20">
        <v>0.86</v>
      </c>
      <c r="P58" s="21">
        <f t="shared" si="3"/>
        <v>4.3</v>
      </c>
      <c r="Q58" s="20">
        <v>0.86</v>
      </c>
      <c r="R58" s="21">
        <f t="shared" si="4"/>
        <v>43</v>
      </c>
      <c r="S58" s="55">
        <v>0.86</v>
      </c>
      <c r="T58" s="21">
        <f t="shared" si="5"/>
        <v>86</v>
      </c>
      <c r="U58" s="113" t="s">
        <v>359</v>
      </c>
      <c r="V58" s="1"/>
      <c r="W58" s="1"/>
    </row>
    <row r="59" spans="1:23" ht="15.75" thickBot="1" x14ac:dyDescent="0.3">
      <c r="A59" s="10">
        <v>56</v>
      </c>
      <c r="B59" s="108"/>
      <c r="C59" s="69" t="s">
        <v>273</v>
      </c>
      <c r="D59" s="12" t="s">
        <v>274</v>
      </c>
      <c r="E59" s="12" t="s">
        <v>336</v>
      </c>
      <c r="F59" s="12" t="s">
        <v>275</v>
      </c>
      <c r="G59" s="44" t="s">
        <v>44</v>
      </c>
      <c r="H59" s="12" t="s">
        <v>40</v>
      </c>
      <c r="I59" s="12" t="s">
        <v>21</v>
      </c>
      <c r="J59" s="44">
        <v>1</v>
      </c>
      <c r="K59" s="13">
        <f t="shared" si="0"/>
        <v>5</v>
      </c>
      <c r="L59" s="13">
        <f t="shared" si="1"/>
        <v>50</v>
      </c>
      <c r="M59" s="13">
        <f t="shared" si="2"/>
        <v>100</v>
      </c>
      <c r="N59" s="86" t="s">
        <v>20</v>
      </c>
      <c r="O59" s="20">
        <v>4.01</v>
      </c>
      <c r="P59" s="21">
        <f t="shared" si="3"/>
        <v>20.049999999999997</v>
      </c>
      <c r="Q59" s="20">
        <v>3.4079999999999999</v>
      </c>
      <c r="R59" s="21">
        <f t="shared" si="4"/>
        <v>170.4</v>
      </c>
      <c r="S59" s="55">
        <v>2.9537</v>
      </c>
      <c r="T59" s="21">
        <f t="shared" si="5"/>
        <v>295.37</v>
      </c>
      <c r="U59" s="72"/>
      <c r="V59" s="1"/>
      <c r="W59" s="1"/>
    </row>
    <row r="60" spans="1:23" ht="15.75" thickBot="1" x14ac:dyDescent="0.3">
      <c r="A60" s="10">
        <v>57</v>
      </c>
      <c r="B60" s="109"/>
      <c r="C60" s="73" t="s">
        <v>276</v>
      </c>
      <c r="D60" s="6" t="s">
        <v>277</v>
      </c>
      <c r="E60" s="6" t="s">
        <v>278</v>
      </c>
      <c r="F60" s="28" t="s">
        <v>279</v>
      </c>
      <c r="G60" s="74" t="s">
        <v>284</v>
      </c>
      <c r="H60" s="74" t="s">
        <v>337</v>
      </c>
      <c r="I60" s="6" t="s">
        <v>21</v>
      </c>
      <c r="J60" s="74">
        <v>1</v>
      </c>
      <c r="K60" s="16">
        <f t="shared" si="0"/>
        <v>5</v>
      </c>
      <c r="L60" s="16">
        <f t="shared" si="1"/>
        <v>50</v>
      </c>
      <c r="M60" s="16">
        <f t="shared" si="2"/>
        <v>100</v>
      </c>
      <c r="N60" s="87" t="s">
        <v>20</v>
      </c>
      <c r="O60" s="34">
        <v>1.1499999999999999</v>
      </c>
      <c r="P60" s="35">
        <f t="shared" si="3"/>
        <v>5.75</v>
      </c>
      <c r="Q60" s="34">
        <v>0.97960000000000003</v>
      </c>
      <c r="R60" s="35">
        <f t="shared" si="4"/>
        <v>48.980000000000004</v>
      </c>
      <c r="S60" s="57">
        <v>0.80449999999999999</v>
      </c>
      <c r="T60" s="35">
        <f t="shared" si="5"/>
        <v>80.45</v>
      </c>
      <c r="U60" s="75"/>
      <c r="V60" s="1"/>
      <c r="W60" s="1"/>
    </row>
    <row r="61" spans="1:23" ht="39" thickBot="1" x14ac:dyDescent="0.3">
      <c r="A61" s="10">
        <v>58</v>
      </c>
      <c r="B61" s="107" t="s">
        <v>19</v>
      </c>
      <c r="C61" s="30" t="s">
        <v>285</v>
      </c>
      <c r="D61" s="7" t="s">
        <v>34</v>
      </c>
      <c r="E61" s="7" t="s">
        <v>41</v>
      </c>
      <c r="F61" s="42" t="s">
        <v>286</v>
      </c>
      <c r="G61" s="67" t="s">
        <v>41</v>
      </c>
      <c r="H61" s="117" t="s">
        <v>360</v>
      </c>
      <c r="I61" s="7" t="s">
        <v>21</v>
      </c>
      <c r="J61" s="67">
        <v>1</v>
      </c>
      <c r="K61" s="8">
        <f t="shared" si="0"/>
        <v>5</v>
      </c>
      <c r="L61" s="8">
        <f t="shared" si="1"/>
        <v>50</v>
      </c>
      <c r="M61" s="8">
        <f t="shared" si="2"/>
        <v>100</v>
      </c>
      <c r="N61" s="131" t="s">
        <v>20</v>
      </c>
      <c r="O61" s="32">
        <v>0.73</v>
      </c>
      <c r="P61" s="33">
        <f t="shared" si="3"/>
        <v>3.65</v>
      </c>
      <c r="Q61" s="32">
        <v>0.73</v>
      </c>
      <c r="R61" s="33">
        <f t="shared" si="4"/>
        <v>36.5</v>
      </c>
      <c r="S61" s="54">
        <v>0.73</v>
      </c>
      <c r="T61" s="33">
        <f t="shared" si="5"/>
        <v>73</v>
      </c>
      <c r="U61" s="129" t="s">
        <v>356</v>
      </c>
    </row>
    <row r="62" spans="1:23" ht="26.25" thickBot="1" x14ac:dyDescent="0.3">
      <c r="A62" s="10">
        <v>59</v>
      </c>
      <c r="B62" s="108"/>
      <c r="C62" s="23" t="s">
        <v>287</v>
      </c>
      <c r="D62" s="12" t="s">
        <v>35</v>
      </c>
      <c r="E62" s="12" t="s">
        <v>41</v>
      </c>
      <c r="F62" s="24" t="s">
        <v>288</v>
      </c>
      <c r="G62" s="44" t="s">
        <v>161</v>
      </c>
      <c r="H62" s="12" t="s">
        <v>361</v>
      </c>
      <c r="I62" s="12" t="s">
        <v>21</v>
      </c>
      <c r="J62" s="44">
        <v>1</v>
      </c>
      <c r="K62" s="13">
        <f t="shared" si="0"/>
        <v>5</v>
      </c>
      <c r="L62" s="13">
        <f t="shared" si="1"/>
        <v>50</v>
      </c>
      <c r="M62" s="13">
        <f t="shared" si="2"/>
        <v>100</v>
      </c>
      <c r="N62" s="110" t="s">
        <v>20</v>
      </c>
      <c r="O62" s="20">
        <v>1.01</v>
      </c>
      <c r="P62" s="21">
        <f t="shared" si="3"/>
        <v>5.05</v>
      </c>
      <c r="Q62" s="20">
        <v>0.79800000000000004</v>
      </c>
      <c r="R62" s="21">
        <f t="shared" si="4"/>
        <v>39.900000000000006</v>
      </c>
      <c r="S62" s="55">
        <v>0.76339999999999997</v>
      </c>
      <c r="T62" s="21">
        <f t="shared" si="5"/>
        <v>76.34</v>
      </c>
      <c r="U62" s="111"/>
    </row>
    <row r="63" spans="1:23" s="18" customFormat="1" ht="26.25" thickBot="1" x14ac:dyDescent="0.3">
      <c r="A63" s="17">
        <v>60</v>
      </c>
      <c r="B63" s="108"/>
      <c r="C63" s="23" t="s">
        <v>289</v>
      </c>
      <c r="D63" s="11" t="s">
        <v>36</v>
      </c>
      <c r="E63" s="11" t="s">
        <v>41</v>
      </c>
      <c r="F63" s="112" t="s">
        <v>290</v>
      </c>
      <c r="G63" s="13" t="s">
        <v>363</v>
      </c>
      <c r="H63" s="44" t="s">
        <v>362</v>
      </c>
      <c r="I63" s="11" t="s">
        <v>21</v>
      </c>
      <c r="J63" s="13">
        <v>1</v>
      </c>
      <c r="K63" s="13">
        <f t="shared" si="0"/>
        <v>5</v>
      </c>
      <c r="L63" s="13">
        <f t="shared" si="1"/>
        <v>50</v>
      </c>
      <c r="M63" s="13">
        <f t="shared" si="2"/>
        <v>100</v>
      </c>
      <c r="N63" s="143" t="s">
        <v>20</v>
      </c>
      <c r="O63" s="21">
        <v>0.35</v>
      </c>
      <c r="P63" s="21">
        <f t="shared" si="3"/>
        <v>1.75</v>
      </c>
      <c r="Q63" s="21">
        <v>0.24099999999999999</v>
      </c>
      <c r="R63" s="21">
        <f t="shared" si="4"/>
        <v>12.049999999999999</v>
      </c>
      <c r="S63" s="55">
        <v>0.23150000000000001</v>
      </c>
      <c r="T63" s="21">
        <f t="shared" si="5"/>
        <v>23.150000000000002</v>
      </c>
      <c r="U63" s="111" t="s">
        <v>356</v>
      </c>
    </row>
    <row r="64" spans="1:23" ht="15.75" customHeight="1" thickBot="1" x14ac:dyDescent="0.3">
      <c r="A64" s="10">
        <v>61</v>
      </c>
      <c r="B64" s="108"/>
      <c r="C64" s="69" t="s">
        <v>291</v>
      </c>
      <c r="D64" s="12" t="s">
        <v>37</v>
      </c>
      <c r="E64" s="12" t="s">
        <v>41</v>
      </c>
      <c r="F64" s="12" t="s">
        <v>292</v>
      </c>
      <c r="G64" s="44" t="s">
        <v>314</v>
      </c>
      <c r="H64" s="12" t="s">
        <v>40</v>
      </c>
      <c r="I64" s="12" t="s">
        <v>21</v>
      </c>
      <c r="J64" s="44">
        <v>1</v>
      </c>
      <c r="K64" s="13">
        <f t="shared" si="0"/>
        <v>5</v>
      </c>
      <c r="L64" s="13">
        <f t="shared" si="1"/>
        <v>50</v>
      </c>
      <c r="M64" s="13">
        <f t="shared" si="2"/>
        <v>100</v>
      </c>
      <c r="N64" s="86" t="s">
        <v>20</v>
      </c>
      <c r="O64" s="20">
        <v>0.96</v>
      </c>
      <c r="P64" s="21">
        <f t="shared" si="3"/>
        <v>4.8</v>
      </c>
      <c r="Q64" s="20">
        <v>0.81499999999999995</v>
      </c>
      <c r="R64" s="21">
        <f t="shared" si="4"/>
        <v>40.75</v>
      </c>
      <c r="S64" s="55">
        <v>0.73180000000000001</v>
      </c>
      <c r="T64" s="21">
        <f t="shared" si="5"/>
        <v>73.180000000000007</v>
      </c>
      <c r="U64" s="72"/>
    </row>
    <row r="65" spans="1:21" ht="15.75" customHeight="1" thickBot="1" x14ac:dyDescent="0.3">
      <c r="A65" s="10">
        <v>62</v>
      </c>
      <c r="B65" s="108"/>
      <c r="C65" s="118" t="s">
        <v>293</v>
      </c>
      <c r="D65" s="24" t="s">
        <v>294</v>
      </c>
      <c r="E65" s="24" t="s">
        <v>41</v>
      </c>
      <c r="F65" s="24" t="s">
        <v>295</v>
      </c>
      <c r="G65" s="119" t="s">
        <v>315</v>
      </c>
      <c r="H65" s="124"/>
      <c r="I65" s="24" t="s">
        <v>21</v>
      </c>
      <c r="J65" s="119">
        <v>1</v>
      </c>
      <c r="K65" s="125">
        <f t="shared" si="0"/>
        <v>5</v>
      </c>
      <c r="L65" s="125">
        <f t="shared" si="1"/>
        <v>50</v>
      </c>
      <c r="M65" s="125">
        <f t="shared" si="2"/>
        <v>100</v>
      </c>
      <c r="N65" s="24" t="s">
        <v>21</v>
      </c>
      <c r="O65" s="24" t="s">
        <v>21</v>
      </c>
      <c r="P65" s="24" t="s">
        <v>21</v>
      </c>
      <c r="Q65" s="24" t="s">
        <v>21</v>
      </c>
      <c r="R65" s="24" t="s">
        <v>21</v>
      </c>
      <c r="S65" s="24" t="s">
        <v>21</v>
      </c>
      <c r="T65" s="24" t="s">
        <v>21</v>
      </c>
      <c r="U65" s="111" t="s">
        <v>368</v>
      </c>
    </row>
    <row r="66" spans="1:21" ht="15.75" customHeight="1" thickBot="1" x14ac:dyDescent="0.3">
      <c r="A66" s="10">
        <v>63</v>
      </c>
      <c r="B66" s="108"/>
      <c r="C66" s="69" t="s">
        <v>296</v>
      </c>
      <c r="D66" s="12" t="s">
        <v>297</v>
      </c>
      <c r="E66" s="12" t="s">
        <v>41</v>
      </c>
      <c r="F66" s="24" t="s">
        <v>298</v>
      </c>
      <c r="G66" s="44" t="s">
        <v>316</v>
      </c>
      <c r="H66" s="44" t="s">
        <v>364</v>
      </c>
      <c r="I66" s="12" t="s">
        <v>21</v>
      </c>
      <c r="J66" s="44">
        <v>1</v>
      </c>
      <c r="K66" s="13">
        <f t="shared" si="0"/>
        <v>5</v>
      </c>
      <c r="L66" s="13">
        <f t="shared" si="1"/>
        <v>50</v>
      </c>
      <c r="M66" s="13">
        <f t="shared" si="2"/>
        <v>100</v>
      </c>
      <c r="N66" s="86" t="s">
        <v>20</v>
      </c>
      <c r="O66" s="20">
        <v>0.45</v>
      </c>
      <c r="P66" s="21">
        <f t="shared" si="3"/>
        <v>2.25</v>
      </c>
      <c r="Q66" s="20">
        <v>0.45</v>
      </c>
      <c r="R66" s="21">
        <f t="shared" si="4"/>
        <v>22.5</v>
      </c>
      <c r="S66" s="55">
        <v>0.4</v>
      </c>
      <c r="T66" s="21">
        <f t="shared" si="5"/>
        <v>40</v>
      </c>
      <c r="U66" s="111" t="s">
        <v>356</v>
      </c>
    </row>
    <row r="67" spans="1:21" ht="15.75" customHeight="1" thickBot="1" x14ac:dyDescent="0.3">
      <c r="A67" s="10">
        <v>64</v>
      </c>
      <c r="B67" s="108"/>
      <c r="C67" s="69" t="s">
        <v>299</v>
      </c>
      <c r="D67" s="12" t="s">
        <v>300</v>
      </c>
      <c r="E67" s="12" t="s">
        <v>41</v>
      </c>
      <c r="F67" s="24" t="s">
        <v>301</v>
      </c>
      <c r="G67" s="44" t="s">
        <v>317</v>
      </c>
      <c r="H67" s="44">
        <v>1715260000</v>
      </c>
      <c r="I67" s="12" t="s">
        <v>21</v>
      </c>
      <c r="J67" s="44">
        <v>1</v>
      </c>
      <c r="K67" s="13">
        <f t="shared" si="0"/>
        <v>5</v>
      </c>
      <c r="L67" s="13">
        <f t="shared" si="1"/>
        <v>50</v>
      </c>
      <c r="M67" s="13">
        <f t="shared" si="2"/>
        <v>100</v>
      </c>
      <c r="N67" s="86" t="s">
        <v>20</v>
      </c>
      <c r="O67" s="20">
        <v>2.13</v>
      </c>
      <c r="P67" s="21">
        <f t="shared" si="3"/>
        <v>10.649999999999999</v>
      </c>
      <c r="Q67" s="20">
        <v>1.3431999999999999</v>
      </c>
      <c r="R67" s="21">
        <f t="shared" si="4"/>
        <v>67.16</v>
      </c>
      <c r="S67" s="55">
        <v>1.3104</v>
      </c>
      <c r="T67" s="21">
        <f t="shared" si="5"/>
        <v>131.04</v>
      </c>
      <c r="U67" s="111" t="s">
        <v>356</v>
      </c>
    </row>
    <row r="68" spans="1:21" ht="15.75" customHeight="1" thickBot="1" x14ac:dyDescent="0.3">
      <c r="A68" s="10">
        <v>65</v>
      </c>
      <c r="B68" s="108"/>
      <c r="C68" s="69" t="s">
        <v>299</v>
      </c>
      <c r="D68" s="12" t="s">
        <v>302</v>
      </c>
      <c r="E68" s="12" t="s">
        <v>41</v>
      </c>
      <c r="F68" s="24" t="s">
        <v>303</v>
      </c>
      <c r="G68" s="44" t="s">
        <v>317</v>
      </c>
      <c r="H68" s="44">
        <v>1711725</v>
      </c>
      <c r="I68" s="12" t="s">
        <v>21</v>
      </c>
      <c r="J68" s="44">
        <v>2</v>
      </c>
      <c r="K68" s="13">
        <f t="shared" ref="K68:K72" si="6">J68*5</f>
        <v>10</v>
      </c>
      <c r="L68" s="13">
        <f t="shared" ref="L68:L72" si="7">J68*50</f>
        <v>100</v>
      </c>
      <c r="M68" s="13">
        <f t="shared" ref="M68:M72" si="8">J68*100</f>
        <v>200</v>
      </c>
      <c r="N68" s="86" t="s">
        <v>20</v>
      </c>
      <c r="O68" s="20">
        <v>2.1120000000000001</v>
      </c>
      <c r="P68" s="21">
        <f t="shared" ref="P68:P72" si="9">O68*K68</f>
        <v>21.12</v>
      </c>
      <c r="Q68" s="20">
        <v>1.92</v>
      </c>
      <c r="R68" s="21">
        <f t="shared" ref="R68:R72" si="10">Q68*L68</f>
        <v>192</v>
      </c>
      <c r="S68" s="55">
        <v>1.92</v>
      </c>
      <c r="T68" s="21">
        <f t="shared" ref="T68:T72" si="11">S68*M68</f>
        <v>384</v>
      </c>
      <c r="U68" s="111" t="s">
        <v>356</v>
      </c>
    </row>
    <row r="69" spans="1:21" ht="15.75" customHeight="1" thickBot="1" x14ac:dyDescent="0.3">
      <c r="A69" s="10">
        <v>66</v>
      </c>
      <c r="B69" s="108"/>
      <c r="C69" s="118" t="s">
        <v>304</v>
      </c>
      <c r="D69" s="24" t="s">
        <v>305</v>
      </c>
      <c r="E69" s="24" t="s">
        <v>41</v>
      </c>
      <c r="F69" s="24" t="s">
        <v>306</v>
      </c>
      <c r="G69" s="119" t="s">
        <v>41</v>
      </c>
      <c r="H69" s="24" t="s">
        <v>40</v>
      </c>
      <c r="I69" s="24" t="s">
        <v>21</v>
      </c>
      <c r="J69" s="119">
        <v>1</v>
      </c>
      <c r="K69" s="125">
        <f t="shared" si="6"/>
        <v>5</v>
      </c>
      <c r="L69" s="125">
        <f t="shared" si="7"/>
        <v>50</v>
      </c>
      <c r="M69" s="125">
        <f t="shared" si="8"/>
        <v>100</v>
      </c>
      <c r="N69" s="24" t="s">
        <v>21</v>
      </c>
      <c r="O69" s="24" t="s">
        <v>21</v>
      </c>
      <c r="P69" s="24" t="s">
        <v>21</v>
      </c>
      <c r="Q69" s="24" t="s">
        <v>21</v>
      </c>
      <c r="R69" s="24" t="s">
        <v>21</v>
      </c>
      <c r="S69" s="24" t="s">
        <v>21</v>
      </c>
      <c r="T69" s="24" t="s">
        <v>21</v>
      </c>
      <c r="U69" s="111" t="s">
        <v>368</v>
      </c>
    </row>
    <row r="70" spans="1:21" ht="15.75" customHeight="1" thickBot="1" x14ac:dyDescent="0.3">
      <c r="A70" s="10">
        <v>67</v>
      </c>
      <c r="B70" s="108"/>
      <c r="C70" s="118" t="s">
        <v>307</v>
      </c>
      <c r="D70" s="24" t="s">
        <v>308</v>
      </c>
      <c r="E70" s="24" t="s">
        <v>41</v>
      </c>
      <c r="F70" s="24" t="s">
        <v>309</v>
      </c>
      <c r="G70" s="119" t="s">
        <v>41</v>
      </c>
      <c r="H70" s="24" t="s">
        <v>40</v>
      </c>
      <c r="I70" s="24" t="s">
        <v>21</v>
      </c>
      <c r="J70" s="119">
        <v>6</v>
      </c>
      <c r="K70" s="125">
        <f t="shared" si="6"/>
        <v>30</v>
      </c>
      <c r="L70" s="125">
        <f t="shared" si="7"/>
        <v>300</v>
      </c>
      <c r="M70" s="125">
        <f t="shared" si="8"/>
        <v>600</v>
      </c>
      <c r="N70" s="24" t="s">
        <v>21</v>
      </c>
      <c r="O70" s="24" t="s">
        <v>21</v>
      </c>
      <c r="P70" s="24" t="s">
        <v>21</v>
      </c>
      <c r="Q70" s="24" t="s">
        <v>21</v>
      </c>
      <c r="R70" s="24" t="s">
        <v>21</v>
      </c>
      <c r="S70" s="24" t="s">
        <v>21</v>
      </c>
      <c r="T70" s="24" t="s">
        <v>21</v>
      </c>
      <c r="U70" s="111" t="s">
        <v>368</v>
      </c>
    </row>
    <row r="71" spans="1:21" ht="15.75" customHeight="1" thickBot="1" x14ac:dyDescent="0.3">
      <c r="A71" s="10">
        <v>68</v>
      </c>
      <c r="B71" s="108"/>
      <c r="C71" s="69" t="s">
        <v>310</v>
      </c>
      <c r="D71" s="12" t="s">
        <v>311</v>
      </c>
      <c r="E71" s="12" t="s">
        <v>41</v>
      </c>
      <c r="F71" s="24" t="s">
        <v>312</v>
      </c>
      <c r="G71" s="44" t="s">
        <v>41</v>
      </c>
      <c r="H71" s="44" t="s">
        <v>367</v>
      </c>
      <c r="I71" s="12" t="s">
        <v>21</v>
      </c>
      <c r="J71" s="44">
        <v>1</v>
      </c>
      <c r="K71" s="13">
        <f t="shared" si="6"/>
        <v>5</v>
      </c>
      <c r="L71" s="13">
        <f t="shared" si="7"/>
        <v>50</v>
      </c>
      <c r="M71" s="13">
        <f t="shared" si="8"/>
        <v>100</v>
      </c>
      <c r="N71" s="86" t="s">
        <v>20</v>
      </c>
      <c r="O71" s="20">
        <v>0.15</v>
      </c>
      <c r="P71" s="21">
        <f t="shared" si="9"/>
        <v>0.75</v>
      </c>
      <c r="Q71" s="20">
        <v>0.11799999999999999</v>
      </c>
      <c r="R71" s="21">
        <f t="shared" si="10"/>
        <v>5.8999999999999995</v>
      </c>
      <c r="S71" s="55">
        <v>8.6800000000000002E-2</v>
      </c>
      <c r="T71" s="21">
        <f t="shared" si="11"/>
        <v>8.68</v>
      </c>
      <c r="U71" s="72"/>
    </row>
    <row r="72" spans="1:21" ht="26.25" thickBot="1" x14ac:dyDescent="0.3">
      <c r="A72" s="10">
        <v>69</v>
      </c>
      <c r="B72" s="109"/>
      <c r="C72" s="120" t="s">
        <v>16</v>
      </c>
      <c r="D72" s="121" t="s">
        <v>313</v>
      </c>
      <c r="E72" s="28" t="s">
        <v>41</v>
      </c>
      <c r="F72" s="28" t="s">
        <v>33</v>
      </c>
      <c r="G72" s="122" t="s">
        <v>41</v>
      </c>
      <c r="H72" s="28" t="s">
        <v>40</v>
      </c>
      <c r="I72" s="28" t="s">
        <v>21</v>
      </c>
      <c r="J72" s="122">
        <v>10</v>
      </c>
      <c r="K72" s="123">
        <f t="shared" si="6"/>
        <v>50</v>
      </c>
      <c r="L72" s="123">
        <f t="shared" si="7"/>
        <v>500</v>
      </c>
      <c r="M72" s="123">
        <f t="shared" si="8"/>
        <v>1000</v>
      </c>
      <c r="N72" s="28" t="s">
        <v>21</v>
      </c>
      <c r="O72" s="28" t="s">
        <v>21</v>
      </c>
      <c r="P72" s="28" t="s">
        <v>21</v>
      </c>
      <c r="Q72" s="28" t="s">
        <v>21</v>
      </c>
      <c r="R72" s="28" t="s">
        <v>21</v>
      </c>
      <c r="S72" s="28" t="s">
        <v>21</v>
      </c>
      <c r="T72" s="28" t="s">
        <v>21</v>
      </c>
      <c r="U72" s="133" t="s">
        <v>368</v>
      </c>
    </row>
    <row r="73" spans="1:21" ht="19.5" thickBot="1" x14ac:dyDescent="0.35">
      <c r="I73" s="102" t="s">
        <v>12</v>
      </c>
      <c r="J73" s="102"/>
      <c r="K73" s="102"/>
      <c r="L73" s="102"/>
      <c r="M73" s="102"/>
      <c r="N73" s="102"/>
      <c r="P73" s="9">
        <f>SUM(P1:P72)</f>
        <v>245.6855000000001</v>
      </c>
      <c r="Q73" s="2"/>
      <c r="R73" s="9">
        <f>SUM(R1:R72)</f>
        <v>1912.5309999999999</v>
      </c>
      <c r="S73" s="9"/>
      <c r="T73" s="9">
        <f>SUM(T1:T72)</f>
        <v>3436.8680000000004</v>
      </c>
    </row>
    <row r="74" spans="1:21" ht="18.75" x14ac:dyDescent="0.3">
      <c r="I74" s="103" t="s">
        <v>13</v>
      </c>
      <c r="J74" s="103"/>
      <c r="K74" s="103"/>
      <c r="L74" s="103"/>
      <c r="M74" s="103"/>
      <c r="N74" s="103"/>
      <c r="P74" s="4">
        <f>P73/5</f>
        <v>49.137100000000018</v>
      </c>
      <c r="Q74" s="3"/>
      <c r="R74" s="4">
        <f>R73/50</f>
        <v>38.250619999999998</v>
      </c>
      <c r="S74" s="4"/>
      <c r="T74" s="4">
        <f>T73/100</f>
        <v>34.368680000000005</v>
      </c>
    </row>
  </sheetData>
  <mergeCells count="9">
    <mergeCell ref="A1:U1"/>
    <mergeCell ref="I73:N73"/>
    <mergeCell ref="I74:N74"/>
    <mergeCell ref="B3:B18"/>
    <mergeCell ref="B21:B25"/>
    <mergeCell ref="B26:B27"/>
    <mergeCell ref="B30:B50"/>
    <mergeCell ref="B51:B60"/>
    <mergeCell ref="B61:B72"/>
  </mergeCells>
  <phoneticPr fontId="12" type="noConversion"/>
  <conditionalFormatting sqref="P3:P64 P71 P66:P68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{19A9C4A9-9EA9-419C-976B-061958A4A597}</x14:id>
        </ext>
      </extLst>
    </cfRule>
  </conditionalFormatting>
  <conditionalFormatting sqref="J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9:J10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74:T74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{00F4DBD2-6698-4ADA-B9BF-608AE474FCE0}</x14:id>
        </ext>
      </extLst>
    </cfRule>
  </conditionalFormatting>
  <conditionalFormatting sqref="R3:T64 R71:T71 R66:T68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{1BC7CE5C-CC8F-453E-A379-81BAD63196D1}</x14:id>
        </ext>
      </extLst>
    </cfRule>
  </conditionalFormatting>
  <conditionalFormatting sqref="J7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:J11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3:M72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M3 J4:J6 K4:M72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J1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2:J19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:J2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:J23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0 J5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1:J32 J53:J5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9 J5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3 J55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:J33 J47:J55 J69:J72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5:J28 J47:J50 J69:J7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J41 J56:J6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4:J41 J56:J63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2:J45 J64:J6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J45 J64:J6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6 J6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6 J68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N3" r:id="rId1" xr:uid="{23E70632-4600-4F22-83CE-FD47B3962E62}"/>
    <hyperlink ref="N5" r:id="rId2" xr:uid="{5CC6ADB0-043E-4B58-B9C4-2FE1AAD2E037}"/>
    <hyperlink ref="N6" r:id="rId3" xr:uid="{AB4BCCEA-0ADA-4B9A-A428-598603143258}"/>
    <hyperlink ref="N7" r:id="rId4" xr:uid="{FB5C0E09-E5D3-4B12-882D-720AC1A10740}"/>
    <hyperlink ref="N8" r:id="rId5" xr:uid="{9C652A29-4B48-4BD4-8315-0138929EC024}"/>
    <hyperlink ref="N9" r:id="rId6" xr:uid="{2CC140B7-DC71-4FFC-96D1-93364A7F7BC0}"/>
    <hyperlink ref="N10" r:id="rId7" xr:uid="{485FB412-0395-456F-8532-06E1A4201489}"/>
    <hyperlink ref="N11" r:id="rId8" xr:uid="{ECCAD93D-1036-43EC-9E85-C55451672DF9}"/>
    <hyperlink ref="N12" r:id="rId9" xr:uid="{A782F953-405B-4A93-AF92-DDACBFB7CF21}"/>
    <hyperlink ref="N13" r:id="rId10" xr:uid="{1465FBAA-9088-4F26-B330-F1168D59A0BB}"/>
    <hyperlink ref="N14" r:id="rId11" xr:uid="{F5FA0366-D8C1-4A2F-A2B6-BDA445A49CA8}"/>
    <hyperlink ref="N15" r:id="rId12" xr:uid="{64FD0BC1-C794-41B9-93C2-8624A75B2CEC}"/>
    <hyperlink ref="N16" r:id="rId13" xr:uid="{EE37A9E2-7348-4062-A15A-45B9D7021328}"/>
    <hyperlink ref="N17" r:id="rId14" xr:uid="{DE9E7CD7-DD19-4BB4-88BF-0F339415A06C}"/>
    <hyperlink ref="N18" r:id="rId15" xr:uid="{3A4697B8-C68F-4D4B-8FFC-B8828E0C4B72}"/>
    <hyperlink ref="N19" r:id="rId16" xr:uid="{7FBA411A-AF4D-4718-90F1-BE19F3D869B7}"/>
    <hyperlink ref="N25" r:id="rId17" xr:uid="{E5863CE5-7E2A-4BF0-A77F-E98E095418A7}"/>
    <hyperlink ref="N27" r:id="rId18" xr:uid="{5E3C073F-F611-443E-A174-779C9099FD94}"/>
    <hyperlink ref="N31" r:id="rId19" xr:uid="{16F6E4E5-B45A-485A-ABAC-711BB49A11BB}"/>
    <hyperlink ref="N32" r:id="rId20" xr:uid="{B493BA74-8621-44B7-B0F4-F3974C1A8C87}"/>
    <hyperlink ref="N33" r:id="rId21" xr:uid="{E0A13886-59DC-45A4-8901-538C449C7214}"/>
    <hyperlink ref="N34" r:id="rId22" xr:uid="{66EBE2A0-0FE0-4AF2-B5C3-EE42C9A4FB5C}"/>
    <hyperlink ref="N35" r:id="rId23" xr:uid="{A1B23CC2-B8F9-49F5-8D0A-C71B70D20D86}"/>
    <hyperlink ref="N36" r:id="rId24" xr:uid="{7360A7C5-15D9-443A-817D-72AA0B97BE09}"/>
    <hyperlink ref="N37" r:id="rId25" xr:uid="{770F34F4-F1C4-4337-96A0-74454EF930B9}"/>
    <hyperlink ref="N38" r:id="rId26" xr:uid="{BE39D4B0-1221-4938-BF6D-C374494317E0}"/>
    <hyperlink ref="N39" r:id="rId27" xr:uid="{37F1B585-7022-403D-B0F1-8AC9A083AFC2}"/>
    <hyperlink ref="N42" r:id="rId28" xr:uid="{E749F68D-C392-470C-A4EF-351FB345DEBF}"/>
    <hyperlink ref="N43" r:id="rId29" xr:uid="{D36BC509-040F-4501-BD50-D26A0B5D1187}"/>
    <hyperlink ref="N46" r:id="rId30" xr:uid="{97B3A6A3-AFAB-4F71-89AD-7282DB51018C}"/>
    <hyperlink ref="N47" r:id="rId31" xr:uid="{FAE33D01-1527-4BE6-9FA7-F06AD666133D}"/>
    <hyperlink ref="N48" r:id="rId32" xr:uid="{BBCC64DC-60F7-4D30-88F0-0168FA28E6F2}"/>
    <hyperlink ref="N49" r:id="rId33" xr:uid="{D520933C-D8DC-46B7-A74B-AA181B26B6E1}"/>
    <hyperlink ref="N54" r:id="rId34" xr:uid="{65AB7FAD-A185-45D9-8DB7-B6F8FC0A9E64}"/>
    <hyperlink ref="N56" r:id="rId35" xr:uid="{4A52EC8D-6B22-4623-A56A-AED0AF91C56F}"/>
    <hyperlink ref="N59" r:id="rId36" xr:uid="{C6D8E578-79F2-4BBD-9874-5F608C66C2D1}"/>
    <hyperlink ref="N60" r:id="rId37" xr:uid="{05A5080D-1968-4A05-ABEF-1F13DCBDBD06}"/>
    <hyperlink ref="N64" r:id="rId38" xr:uid="{FE001AD1-3131-4A73-A021-90F7899498D7}"/>
    <hyperlink ref="N30" r:id="rId39" xr:uid="{E6AE8FBB-87D2-4BD9-9807-A56E5E9AEF07}"/>
    <hyperlink ref="N40" r:id="rId40" xr:uid="{2E7B65DB-EE7D-4462-9762-B529DC0D5E61}"/>
    <hyperlink ref="N41" r:id="rId41" xr:uid="{067C798E-BB9E-4877-A01F-5ACDC256CA5A}"/>
    <hyperlink ref="N44" r:id="rId42" xr:uid="{CC5DE328-BEF8-4165-8559-3D94B1BFEF30}"/>
    <hyperlink ref="N45" r:id="rId43" xr:uid="{78F87503-89E9-48F4-B5D8-2C7AF9EACE13}"/>
    <hyperlink ref="N50" r:id="rId44" xr:uid="{0AE44462-CA64-4BB0-9C0F-FADD3C56D8A8}"/>
    <hyperlink ref="N20" r:id="rId45" xr:uid="{B55B85CA-E2F4-45B8-AD81-98E066D6E42F}"/>
    <hyperlink ref="N21" r:id="rId46" xr:uid="{6FE8AAF0-9900-48AC-8DC8-DB1A4A0935A3}"/>
    <hyperlink ref="N22" r:id="rId47" xr:uid="{A054D760-5D00-4DD6-B214-B241BB83A32E}"/>
    <hyperlink ref="N23" r:id="rId48" xr:uid="{A0A5F541-B368-478D-9EF3-3D765239C64E}"/>
    <hyperlink ref="N24" r:id="rId49" xr:uid="{9D28FC85-AED8-4A02-A947-60501FA5A6B5}"/>
    <hyperlink ref="N29" r:id="rId50" xr:uid="{2AFD90F5-7189-4A7E-B7A6-AB55F8E1927F}"/>
    <hyperlink ref="N51" r:id="rId51" xr:uid="{CC580313-421C-452B-9168-C71CF9B145C8}"/>
    <hyperlink ref="N53" r:id="rId52" xr:uid="{2DE0EA7E-F5A2-4717-B312-6E9347B0E9F6}"/>
    <hyperlink ref="N4" r:id="rId53" xr:uid="{44209F46-1B93-4F12-A4CC-E4A094978F3C}"/>
    <hyperlink ref="N26" r:id="rId54" xr:uid="{44EA4EA8-AA27-4C9D-9863-2B16E294FC91}"/>
    <hyperlink ref="N28" r:id="rId55" xr:uid="{2ED51590-8659-4DAC-84DC-7D7213D8CF43}"/>
    <hyperlink ref="N52" r:id="rId56" xr:uid="{469E2288-EBAB-40EF-9F9B-CF42849950E1}"/>
    <hyperlink ref="N55" r:id="rId57" xr:uid="{2413E98B-0791-406B-AB80-BBE245C68DDA}"/>
    <hyperlink ref="N57" r:id="rId58" xr:uid="{4BD46842-B719-44ED-B21D-E7983C525D0E}"/>
    <hyperlink ref="N58" r:id="rId59" xr:uid="{350C6503-BE03-4E2C-9C55-FF6C5D20AE69}"/>
    <hyperlink ref="N61" r:id="rId60" xr:uid="{412B014F-51F9-4E5B-AC57-2B95C1EDA7A9}"/>
    <hyperlink ref="N62" r:id="rId61" xr:uid="{D48DD52B-391E-4AB6-AAA3-DADAE7922EAC}"/>
    <hyperlink ref="N63" r:id="rId62" xr:uid="{12DC5CF1-9576-4CA2-887F-F628E86240CE}"/>
    <hyperlink ref="N66" r:id="rId63" xr:uid="{51C46423-15C7-4B06-94C1-84BF03991E13}"/>
    <hyperlink ref="N67" r:id="rId64" xr:uid="{B30C34BB-74FB-4742-A49A-6DC81507E306}"/>
    <hyperlink ref="N68" r:id="rId65" xr:uid="{E1587D9F-4670-45BE-B47C-D68A753F9EBF}"/>
    <hyperlink ref="N71" r:id="rId66" xr:uid="{17B3BE3D-FC16-4FF8-8A71-4F20689EDB33}"/>
  </hyperlinks>
  <pageMargins left="0.7" right="0.7" top="0.75" bottom="0.75" header="0.3" footer="0.3"/>
  <pageSetup orientation="portrait" r:id="rId6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A9C4A9-9EA9-419C-976B-061958A4A5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P3:P64 P71 P66:P68</xm:sqref>
        </x14:conditionalFormatting>
        <x14:conditionalFormatting xmlns:xm="http://schemas.microsoft.com/office/excel/2006/main">
          <x14:cfRule type="dataBar" id="{00F4DBD2-6698-4ADA-B9BF-608AE474FC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P74:T74</xm:sqref>
        </x14:conditionalFormatting>
        <x14:conditionalFormatting xmlns:xm="http://schemas.microsoft.com/office/excel/2006/main">
          <x14:cfRule type="dataBar" id="{1BC7CE5C-CC8F-453E-A379-81BAD6319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R3:T64 R71:T71 R66:T68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Jude_Project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HP</cp:lastModifiedBy>
  <dcterms:created xsi:type="dcterms:W3CDTF">2021-05-17T11:34:06Z</dcterms:created>
  <dcterms:modified xsi:type="dcterms:W3CDTF">2022-03-04T11:56:19Z</dcterms:modified>
</cp:coreProperties>
</file>