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<sst xmlns="http://schemas.openxmlformats.org/spreadsheetml/2006/main" count="76" uniqueCount="68">
  <si>
    <t>Bill of Material (BOM) for Grant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</si>
  <si>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</si>
  <si>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</si>
  <si>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</si>
  <si>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</si>
  <si>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</si>
  <si>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</si>
  <si>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</si>
  <si>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</si>
  <si>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</si>
  <si>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Quantity (Per Board)</t>
  </si>
  <si>
    <t>Quantity 5</t>
  </si>
  <si>
    <t>Link</t>
  </si>
  <si>
    <t>Unit Cost(5)</t>
  </si>
  <si>
    <t>Total Cost(5)</t>
  </si>
  <si>
    <t>Remarks</t>
  </si>
  <si>
    <t>Capacitor</t>
  </si>
  <si>
    <t>CAP CER 0.1UF 16V X7R 0402</t>
  </si>
  <si>
    <t>C1, C2, C3, C4, C35</t>
  </si>
  <si>
    <t>Cap 0402</t>
  </si>
  <si>
    <t>CC0402KRX7R7BB104</t>
  </si>
  <si>
    <t>Yageo</t>
  </si>
  <si>
    <t>0.1uF</t>
  </si>
  <si>
    <t>Digikey</t>
  </si>
  <si>
    <t>CAP CER 1UF 25V X5R 0402</t>
  </si>
  <si>
    <t>C28, C32</t>
  </si>
  <si>
    <t>GRM155R61E105KA12D</t>
  </si>
  <si>
    <t>Murata</t>
  </si>
  <si>
    <t>1uF</t>
  </si>
  <si>
    <t>CAP CER 2.2UF 16V X5R 0402</t>
  </si>
  <si>
    <t>C33</t>
  </si>
  <si>
    <t>EMK105ABJ225KV-F</t>
  </si>
  <si>
    <t>Taiyo Yuden</t>
  </si>
  <si>
    <t>2.2uF</t>
  </si>
  <si>
    <t>CAP CER 4.7UF 25V X5R 0603</t>
  </si>
  <si>
    <t>C34</t>
  </si>
  <si>
    <t>Cap 0603</t>
  </si>
  <si>
    <t>CL10A475KA8NQNC</t>
  </si>
  <si>
    <t>Samsung</t>
  </si>
  <si>
    <t>4.7uF</t>
  </si>
  <si>
    <t>Switch</t>
  </si>
  <si>
    <t>No NO 50mA 12mm 100mΩ 200000 260gf 12V -30℃~+85℃ 12mm 5mm Black Round Button Brick nogging SPST SMD Tactile Switches ROHS</t>
  </si>
  <si>
    <t>SW1, SW2, SW3, SW4</t>
  </si>
  <si>
    <t>TS-1103S-C-C</t>
  </si>
  <si>
    <t>XKB</t>
  </si>
  <si>
    <t>Resistor</t>
  </si>
  <si>
    <t>4.7K ±5% 1/16W ±200ppm/°C 0402 Chip Resistor - Surface Mount RoHS</t>
  </si>
  <si>
    <t>R21, R22, R27</t>
  </si>
  <si>
    <t>Res0402</t>
  </si>
  <si>
    <t>CR0402JF0472G</t>
  </si>
  <si>
    <t>LIZ Elec</t>
  </si>
  <si>
    <t>RC0402FR-074K7L</t>
  </si>
  <si>
    <t>4.7K</t>
  </si>
  <si>
    <t>±1% 1/10W Thick Film Resistors 75V ±100ppm/℃ -55℃~+155℃ 910kΩ 0603 Chip Resistor - Surface Mount ROHS</t>
  </si>
  <si>
    <t>R23</t>
  </si>
  <si>
    <t>Res0603</t>
  </si>
  <si>
    <t>0603WAF9103T5E</t>
  </si>
  <si>
    <t>UNI-ROYAL</t>
  </si>
  <si>
    <t>RC0603JR-07910KL</t>
  </si>
  <si>
    <t>910K</t>
  </si>
  <si>
    <t>Header</t>
  </si>
  <si>
    <t>CONN HEADER VERT 10POS 2.54MM</t>
  </si>
  <si>
    <t>P1</t>
  </si>
  <si>
    <t>M20-9991045</t>
  </si>
  <si>
    <t>Harwin</t>
  </si>
  <si>
    <t>FPC Connector 0.5mm pitch 24pin 30pin TOP&amp;bottom conduction Zif Smt Lcd/epaper Fpc Ffc Connector</t>
  </si>
  <si>
    <t>J1</t>
  </si>
  <si>
    <t>8.02A0.024200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</si>
</sst>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176" formatCode="0.00000_ "/>
    <numFmt numFmtId="177" formatCode="_ * #,##0.00_ ;_ * \-#,##0.00_ ;_ * &quot;-&quot;??_ ;_ @_ "/>
    <numFmt numFmtId="178" formatCode="_ * #,##0_ ;_ * \-#,##0_ ;_ * &quot;-&quot;_ ;_ @_ 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0.5"/>
      <color theme="1"/>
      <name val="Arial"/>
      <charset val="134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9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4" borderId="19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0" fillId="12" borderId="18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15" borderId="15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3" borderId="21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5" fillId="3" borderId="15" applyNumberFormat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0" xfId="0" applyFill="1" applyAlignment="1">
      <alignment vertical="center" wrapText="1"/>
    </xf>
    <xf numFmtId="0" fontId="1" fillId="2" borderId="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0" fillId="0" borderId="12" xfId="0" applyFill="1" applyBorder="1" applyAlignment="1">
      <alignment vertical="center"/>
    </xf>
    <xf numFmtId="0" fontId="0" fillId="0" borderId="0" xfId="0" applyAlignment="1">
      <alignment vertical="center"/>
    </xf>
    <xf numFmtId="0" fontId="3" fillId="0" borderId="0" xfId="7" applyAlignment="1">
      <alignment vertical="center"/>
    </xf>
    <xf numFmtId="176" fontId="4" fillId="0" borderId="0" xfId="0" applyNumberFormat="1" applyFont="1">
      <alignment vertical="center"/>
    </xf>
    <xf numFmtId="0" fontId="0" fillId="0" borderId="13" xfId="0" applyFill="1" applyBorder="1" applyAlignment="1">
      <alignment vertical="center"/>
    </xf>
    <xf numFmtId="0" fontId="4" fillId="0" borderId="0" xfId="0" applyFont="1">
      <alignment vertical="center"/>
    </xf>
    <xf numFmtId="0" fontId="0" fillId="0" borderId="14" xfId="0" applyFill="1" applyBorder="1" applyAlignment="1">
      <alignment vertical="center"/>
    </xf>
    <xf numFmtId="0" fontId="0" fillId="0" borderId="5" xfId="0" applyFill="1" applyBorder="1" applyAlignment="1" quotePrefix="1">
      <alignment vertical="center"/>
    </xf>
    <xf numFmtId="0" fontId="0" fillId="0" borderId="6" xfId="0" applyFill="1" applyBorder="1" applyAlignment="1" quotePrefix="1">
      <alignment vertical="center"/>
    </xf>
    <xf numFmtId="0" fontId="0" fillId="0" borderId="12" xfId="0" applyFill="1" applyBorder="1" applyAlignment="1" quotePrefix="1">
      <alignment vertical="center"/>
    </xf>
    <xf numFmtId="0" fontId="0" fillId="0" borderId="7" xfId="0" applyFill="1" applyBorder="1" applyAlignment="1" quotePrefix="1">
      <alignment vertical="center"/>
    </xf>
    <xf numFmtId="0" fontId="0" fillId="0" borderId="8" xfId="0" applyFill="1" applyBorder="1" applyAlignment="1" quotePrefix="1">
      <alignment vertical="center"/>
    </xf>
    <xf numFmtId="0" fontId="0" fillId="0" borderId="13" xfId="0" applyFill="1" applyBorder="1" applyAlignment="1" quotePrefix="1">
      <alignment vertical="center"/>
    </xf>
    <xf numFmtId="0" fontId="0" fillId="0" borderId="9" xfId="0" applyFill="1" applyBorder="1" applyAlignment="1" quotePrefix="1">
      <alignment vertical="center"/>
    </xf>
    <xf numFmtId="0" fontId="0" fillId="0" borderId="10" xfId="0" applyFill="1" applyBorder="1" applyAlignment="1" quotePrefix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www.digikey.com/en/products/detail/yageo/RC0603JR-07910KL/726839" TargetMode="External"/><Relationship Id="rId6" Type="http://schemas.openxmlformats.org/officeDocument/2006/relationships/hyperlink" Target="https://www.digikey.com/en/products/detail/yageo/RC0402FR-074K7L/2827563" TargetMode="External"/><Relationship Id="rId5" Type="http://schemas.openxmlformats.org/officeDocument/2006/relationships/hyperlink" Target="https://www.digikey.com/en/products/detail/harwin-inc/M20-9991045/3727809?s=N4IgTCBcDaILJgAwFoCc6CMiAsBWEAugL5A" TargetMode="External"/><Relationship Id="rId4" Type="http://schemas.openxmlformats.org/officeDocument/2006/relationships/hyperlink" Target="https://www.digikey.com/en/products/detail/samsung-electro-mechanics/CL10A475KA8NQNC/3887558?s=N4IgTCBcDaIMIBkCMAGAggFgOwFYDSaAHAHICKxcIAugL5A" TargetMode="External"/><Relationship Id="rId3" Type="http://schemas.openxmlformats.org/officeDocument/2006/relationships/hyperlink" Target="https://www.digikey.com/en/products/detail/taiyo-yuden/EMK105ABJ225KV-F/7403764?s=N4IgTCBcDaIKIFkDSBGADAVgIICEBSYYGSAagLQBiIAugL5A" TargetMode="External"/><Relationship Id="rId2" Type="http://schemas.openxmlformats.org/officeDocument/2006/relationships/hyperlink" Target="https://www.digikey.com/en/products/detail/murata-electronics/GRM155R61E105KA12D/4905139?s=N4IgTCBcDaIOICUCyBGArGhA2FBRFADGgNICCKYAIiALoC%2BQA" TargetMode="External"/><Relationship Id="rId1" Type="http://schemas.openxmlformats.org/officeDocument/2006/relationships/hyperlink" Target="https://www.digikey.com/en/products/detail/yageo/CC0402KRX7R7BB104/2103076?s=N4IgTCBcDaIMJwAwBZFgNICUAaB2TuAQoQIwogC6Av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topLeftCell="A2" workbookViewId="0">
      <selection activeCell="C16" sqref="C16"/>
    </sheetView>
  </sheetViews>
  <sheetFormatPr defaultColWidth="9.14285714285714" defaultRowHeight="15"/>
  <cols>
    <col min="2" max="2" width="13.1428571428571" customWidth="1"/>
    <col min="3" max="3" width="135.142857142857" customWidth="1"/>
    <col min="4" max="4" width="21.2857142857143" customWidth="1"/>
    <col min="5" max="5" width="20" customWidth="1"/>
    <col min="6" max="6" width="27.2857142857143" customWidth="1"/>
    <col min="7" max="7" width="14.1428571428571" customWidth="1"/>
    <col min="8" max="8" width="10" customWidth="1"/>
    <col min="9" max="9" width="14.4285714285714" customWidth="1"/>
    <col min="10" max="10" width="18.2857142857143" customWidth="1"/>
    <col min="13" max="13" width="12.4285714285714" customWidth="1"/>
    <col min="14" max="14" width="13" customWidth="1"/>
  </cols>
  <sheetData>
    <row r="1" ht="16.5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4"/>
    </row>
    <row r="2" ht="15.75" spans="1:1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15" t="s">
        <v>12</v>
      </c>
      <c r="M2" s="4" t="s">
        <v>13</v>
      </c>
      <c r="N2" s="4" t="s">
        <v>14</v>
      </c>
      <c r="O2" s="4" t="s">
        <v>15</v>
      </c>
    </row>
    <row r="3" ht="15.75" spans="1:15">
      <c r="A3" s="3">
        <v>1</v>
      </c>
      <c r="B3" s="5" t="s">
        <v>16</v>
      </c>
      <c r="C3" s="23" t="s">
        <v>17</v>
      </c>
      <c r="D3" s="23" t="s">
        <v>18</v>
      </c>
      <c r="E3" s="23" t="s">
        <v>19</v>
      </c>
      <c r="F3" s="23" t="s">
        <v>20</v>
      </c>
      <c r="G3" s="24" t="s">
        <v>21</v>
      </c>
      <c r="H3" s="8"/>
      <c r="I3" s="25" t="s">
        <v>22</v>
      </c>
      <c r="J3" s="6">
        <v>5</v>
      </c>
      <c r="K3" s="17">
        <f>J3*5</f>
        <v>25</v>
      </c>
      <c r="L3" s="18" t="s">
        <v>23</v>
      </c>
      <c r="M3" s="19">
        <v>0.029</v>
      </c>
      <c r="N3" s="17"/>
      <c r="O3" s="17"/>
    </row>
    <row r="4" ht="15.75" spans="1:15">
      <c r="A4" s="3">
        <v>2</v>
      </c>
      <c r="B4" s="5"/>
      <c r="C4" s="26" t="s">
        <v>24</v>
      </c>
      <c r="D4" s="26" t="s">
        <v>25</v>
      </c>
      <c r="E4" s="26" t="s">
        <v>19</v>
      </c>
      <c r="F4" s="26" t="s">
        <v>26</v>
      </c>
      <c r="G4" s="27" t="s">
        <v>27</v>
      </c>
      <c r="H4" s="8"/>
      <c r="I4" s="28" t="s">
        <v>28</v>
      </c>
      <c r="J4" s="9">
        <v>2</v>
      </c>
      <c r="K4" s="17">
        <f t="shared" ref="K4:K11" si="0">J4*5</f>
        <v>10</v>
      </c>
      <c r="L4" s="18" t="s">
        <v>23</v>
      </c>
      <c r="M4" s="21">
        <v>0.08</v>
      </c>
      <c r="N4" s="17"/>
      <c r="O4" s="17"/>
    </row>
    <row r="5" ht="15.75" spans="1:15">
      <c r="A5" s="3">
        <v>3</v>
      </c>
      <c r="B5" s="5"/>
      <c r="C5" s="26" t="s">
        <v>29</v>
      </c>
      <c r="D5" s="26" t="s">
        <v>30</v>
      </c>
      <c r="E5" s="26" t="s">
        <v>19</v>
      </c>
      <c r="F5" s="26" t="s">
        <v>31</v>
      </c>
      <c r="G5" s="27" t="s">
        <v>32</v>
      </c>
      <c r="H5" s="8"/>
      <c r="I5" s="28" t="s">
        <v>33</v>
      </c>
      <c r="J5" s="9">
        <v>1</v>
      </c>
      <c r="K5" s="17">
        <f t="shared" si="0"/>
        <v>5</v>
      </c>
      <c r="L5" s="18" t="s">
        <v>23</v>
      </c>
      <c r="M5" s="21">
        <v>0.156</v>
      </c>
      <c r="N5" s="17"/>
      <c r="O5" s="17"/>
    </row>
    <row r="6" ht="15.75" spans="1:15">
      <c r="A6" s="3">
        <v>4</v>
      </c>
      <c r="B6" s="5"/>
      <c r="C6" s="26" t="s">
        <v>34</v>
      </c>
      <c r="D6" s="26" t="s">
        <v>35</v>
      </c>
      <c r="E6" s="26" t="s">
        <v>36</v>
      </c>
      <c r="F6" s="26" t="s">
        <v>37</v>
      </c>
      <c r="G6" s="27" t="s">
        <v>38</v>
      </c>
      <c r="H6" s="8"/>
      <c r="I6" s="28" t="s">
        <v>39</v>
      </c>
      <c r="J6" s="9">
        <v>1</v>
      </c>
      <c r="K6" s="17">
        <f t="shared" si="0"/>
        <v>5</v>
      </c>
      <c r="L6" s="18" t="s">
        <v>23</v>
      </c>
      <c r="M6" s="21">
        <v>0.38</v>
      </c>
      <c r="N6" s="17"/>
      <c r="O6" s="17"/>
    </row>
    <row r="7" ht="15.75" spans="1:15">
      <c r="A7" s="3">
        <v>5</v>
      </c>
      <c r="B7" s="5" t="s">
        <v>40</v>
      </c>
      <c r="C7" s="29" t="s">
        <v>41</v>
      </c>
      <c r="D7" s="29" t="s">
        <v>42</v>
      </c>
      <c r="E7" s="11"/>
      <c r="F7" s="29" t="s">
        <v>43</v>
      </c>
      <c r="G7" s="30" t="s">
        <v>44</v>
      </c>
      <c r="H7" s="8"/>
      <c r="I7" s="22"/>
      <c r="J7" s="11">
        <v>4</v>
      </c>
      <c r="K7" s="17">
        <f t="shared" si="0"/>
        <v>20</v>
      </c>
      <c r="L7" s="17"/>
      <c r="M7" s="17"/>
      <c r="N7" s="17"/>
      <c r="O7" s="17"/>
    </row>
    <row r="8" ht="30.75" spans="1:15">
      <c r="A8" s="3">
        <v>6</v>
      </c>
      <c r="B8" s="5" t="s">
        <v>45</v>
      </c>
      <c r="C8" s="26" t="s">
        <v>46</v>
      </c>
      <c r="D8" s="26" t="s">
        <v>47</v>
      </c>
      <c r="E8" s="26" t="s">
        <v>48</v>
      </c>
      <c r="F8" s="26" t="s">
        <v>49</v>
      </c>
      <c r="G8" s="27" t="s">
        <v>50</v>
      </c>
      <c r="H8" s="13" t="s">
        <v>51</v>
      </c>
      <c r="I8" s="28" t="s">
        <v>52</v>
      </c>
      <c r="J8" s="9">
        <v>3</v>
      </c>
      <c r="K8" s="17">
        <f t="shared" si="0"/>
        <v>15</v>
      </c>
      <c r="L8" s="18" t="s">
        <v>23</v>
      </c>
      <c r="M8" s="21">
        <v>0.016</v>
      </c>
      <c r="N8" s="17"/>
      <c r="O8" s="17"/>
    </row>
    <row r="9" ht="15.75" spans="1:15">
      <c r="A9" s="3">
        <v>7</v>
      </c>
      <c r="B9" s="5"/>
      <c r="C9" s="26" t="s">
        <v>53</v>
      </c>
      <c r="D9" s="26" t="s">
        <v>54</v>
      </c>
      <c r="E9" s="26" t="s">
        <v>55</v>
      </c>
      <c r="F9" s="26" t="s">
        <v>56</v>
      </c>
      <c r="G9" s="27" t="s">
        <v>57</v>
      </c>
      <c r="H9" s="8" t="s">
        <v>58</v>
      </c>
      <c r="I9" s="28" t="s">
        <v>59</v>
      </c>
      <c r="J9" s="9">
        <v>1</v>
      </c>
      <c r="K9" s="17">
        <f t="shared" si="0"/>
        <v>5</v>
      </c>
      <c r="L9" s="18" t="s">
        <v>23</v>
      </c>
      <c r="M9" s="21">
        <v>0.1</v>
      </c>
      <c r="N9" s="17"/>
      <c r="O9" s="17"/>
    </row>
    <row r="10" ht="15.75" spans="1:15">
      <c r="A10" s="3">
        <v>8</v>
      </c>
      <c r="B10" s="5" t="s">
        <v>60</v>
      </c>
      <c r="C10" s="26" t="s">
        <v>61</v>
      </c>
      <c r="D10" s="26" t="s">
        <v>62</v>
      </c>
      <c r="E10" s="9"/>
      <c r="F10" s="26" t="s">
        <v>63</v>
      </c>
      <c r="G10" s="27" t="s">
        <v>64</v>
      </c>
      <c r="H10" s="8"/>
      <c r="I10" s="20"/>
      <c r="J10" s="9">
        <v>1</v>
      </c>
      <c r="K10" s="17">
        <f t="shared" si="0"/>
        <v>5</v>
      </c>
      <c r="L10" s="18" t="s">
        <v>23</v>
      </c>
      <c r="M10" s="21">
        <v>0.46</v>
      </c>
      <c r="N10" s="17"/>
      <c r="O10" s="17"/>
    </row>
    <row r="11" ht="15.75" spans="1:11">
      <c r="A11" s="3">
        <v>9</v>
      </c>
      <c r="B11" s="5"/>
      <c r="C11" s="26" t="s">
        <v>65</v>
      </c>
      <c r="D11" s="26" t="s">
        <v>66</v>
      </c>
      <c r="E11" s="9"/>
      <c r="F11" s="26" t="s">
        <v>67</v>
      </c>
      <c r="G11" s="10"/>
      <c r="H11" s="8"/>
      <c r="I11" s="20"/>
      <c r="J11" s="9">
        <v>1</v>
      </c>
      <c r="K11" s="17">
        <f t="shared" si="0"/>
        <v>5</v>
      </c>
    </row>
  </sheetData>
  <mergeCells count="4">
    <mergeCell ref="A1:O1"/>
    <mergeCell ref="B3:B6"/>
    <mergeCell ref="B8:B9"/>
    <mergeCell ref="B10:B11"/>
  </mergeCells>
  <hyperlinks>
    <hyperlink ref="L3" r:id="rId1" display="Digikey"/>
    <hyperlink ref="L4" r:id="rId2" display="Digikey"/>
    <hyperlink ref="L5" r:id="rId3" display="Digikey"/>
    <hyperlink ref="L6" r:id="rId4" display="Digikey"/>
    <hyperlink ref="L10" r:id="rId5" display="Digikey"/>
    <hyperlink ref="L8" r:id="rId6" display="Digikey"/>
    <hyperlink ref="L9" r:id="rId7" display="Digikey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texon</cp:lastModifiedBy>
  <dcterms:created xsi:type="dcterms:W3CDTF">2022-03-16T14:26:23Z</dcterms:created>
  <dcterms:modified xsi:type="dcterms:W3CDTF">2022-03-16T15:41:23Z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5BAC6B7B63754BDEA88C017011FF92D9</vt:lpwstr>
  </property>
  <property fmtid="{D5CDD505-2E9C-101B-9397-08002B2CF9AE}" pid="3" name="KSOProductBuildVer">
    <vt:lpwstr>1033-11.2.0.11029</vt:lpwstr>
  </property>
</Properties>
</file>