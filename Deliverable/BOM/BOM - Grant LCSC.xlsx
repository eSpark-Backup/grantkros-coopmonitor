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vSol # 35\Dropbox\Grant Kros\Embedded Dev\Hardware Designing\_Deliverable\BOM\"/>
    </mc:Choice>
  </mc:AlternateContent>
  <bookViews>
    <workbookView xWindow="0" yWindow="0" windowWidth="20490" windowHeight="7620"/>
  </bookViews>
  <sheets>
    <sheet name="Grant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8" i="1" l="1"/>
  <c r="K84" i="1" l="1"/>
  <c r="O60" i="1" l="1"/>
  <c r="K60" i="1"/>
  <c r="K20" i="1"/>
  <c r="O20" i="1"/>
  <c r="O16" i="1" l="1"/>
  <c r="K16" i="1"/>
  <c r="O15" i="1" l="1"/>
  <c r="K15" i="1"/>
  <c r="K85" i="1" l="1"/>
  <c r="O74" i="1" l="1"/>
  <c r="O78" i="1" l="1"/>
  <c r="O77" i="1"/>
  <c r="O75" i="1"/>
  <c r="O72" i="1"/>
  <c r="O70" i="1"/>
  <c r="O71" i="1"/>
  <c r="O69" i="1"/>
  <c r="O68" i="1"/>
  <c r="O67" i="1"/>
  <c r="O66" i="1"/>
  <c r="O62" i="1"/>
  <c r="O61" i="1"/>
  <c r="O59" i="1"/>
  <c r="O36" i="1"/>
  <c r="O33" i="1"/>
  <c r="O34" i="1"/>
  <c r="O32" i="1"/>
  <c r="O31" i="1"/>
  <c r="O29" i="1"/>
  <c r="O18" i="1"/>
  <c r="K4" i="1"/>
  <c r="K5" i="1"/>
  <c r="K6" i="1"/>
  <c r="K7" i="1"/>
  <c r="K8" i="1"/>
  <c r="K9" i="1"/>
  <c r="K10" i="1"/>
  <c r="K11" i="1"/>
  <c r="K12" i="1"/>
  <c r="K13" i="1"/>
  <c r="K14" i="1"/>
  <c r="K17" i="1"/>
  <c r="K18" i="1"/>
  <c r="K19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7" i="1"/>
  <c r="K78" i="1"/>
  <c r="K79" i="1"/>
  <c r="K80" i="1"/>
  <c r="K81" i="1"/>
  <c r="K82" i="1"/>
  <c r="K83" i="1"/>
  <c r="K3" i="1"/>
  <c r="O30" i="1" l="1"/>
  <c r="O28" i="1"/>
  <c r="O27" i="1"/>
  <c r="O25" i="1"/>
  <c r="O26" i="1"/>
  <c r="O14" i="1"/>
  <c r="O13" i="1"/>
  <c r="O12" i="1"/>
  <c r="O10" i="1"/>
  <c r="O7" i="1"/>
  <c r="O6" i="1"/>
  <c r="O4" i="1"/>
  <c r="O3" i="1"/>
  <c r="O5" i="1"/>
  <c r="O9" i="1" l="1"/>
  <c r="O11" i="1"/>
  <c r="O17" i="1"/>
  <c r="O19" i="1"/>
  <c r="O21" i="1"/>
  <c r="O22" i="1"/>
  <c r="O23" i="1"/>
  <c r="O24" i="1"/>
  <c r="O35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63" i="1"/>
  <c r="O79" i="1"/>
  <c r="O80" i="1"/>
  <c r="O81" i="1"/>
  <c r="O86" i="1" l="1"/>
  <c r="O89" i="1" s="1"/>
</calcChain>
</file>

<file path=xl/sharedStrings.xml><?xml version="1.0" encoding="utf-8"?>
<sst xmlns="http://schemas.openxmlformats.org/spreadsheetml/2006/main" count="705" uniqueCount="462">
  <si>
    <t>Description</t>
  </si>
  <si>
    <t>Designator</t>
  </si>
  <si>
    <t>Manufacturer</t>
  </si>
  <si>
    <t>Manufacturer Part Number</t>
  </si>
  <si>
    <t>Quantity</t>
  </si>
  <si>
    <t>Value</t>
  </si>
  <si>
    <t>0.1uF</t>
  </si>
  <si>
    <t>Yageo</t>
  </si>
  <si>
    <t>1uF</t>
  </si>
  <si>
    <t>10nF</t>
  </si>
  <si>
    <t>10uF</t>
  </si>
  <si>
    <t>J1</t>
  </si>
  <si>
    <t>J4</t>
  </si>
  <si>
    <t>J7</t>
  </si>
  <si>
    <t>J8</t>
  </si>
  <si>
    <t>CONN HEADER VERT 2POS 2.54MM</t>
  </si>
  <si>
    <t>Wurth Electronics</t>
  </si>
  <si>
    <t>Test Point ON</t>
  </si>
  <si>
    <t>ON Semiconductor</t>
  </si>
  <si>
    <t>470R</t>
  </si>
  <si>
    <t>10K</t>
  </si>
  <si>
    <t>47K</t>
  </si>
  <si>
    <t>Solder Bridge ON</t>
  </si>
  <si>
    <t>NCP3335ADM330R2G</t>
  </si>
  <si>
    <t>IC REG LINEAR 3.3V 500MA MICRO8</t>
  </si>
  <si>
    <t>U1</t>
  </si>
  <si>
    <t>Texas Instruments</t>
  </si>
  <si>
    <t>U3</t>
  </si>
  <si>
    <t>U4</t>
  </si>
  <si>
    <t>U5</t>
  </si>
  <si>
    <t>Microchip</t>
  </si>
  <si>
    <t>U6</t>
  </si>
  <si>
    <t>U8</t>
  </si>
  <si>
    <t>IC RTC CLK/CALENDAR I2C 8-SOIC</t>
  </si>
  <si>
    <t>S. No.</t>
  </si>
  <si>
    <t>Comment Type</t>
  </si>
  <si>
    <t>Footprint (Package)</t>
  </si>
  <si>
    <t>Total Quantity</t>
  </si>
  <si>
    <t>Link</t>
  </si>
  <si>
    <t>Remarks</t>
  </si>
  <si>
    <t>Capacitor</t>
  </si>
  <si>
    <t>LED</t>
  </si>
  <si>
    <t>KEMET</t>
  </si>
  <si>
    <t>Cap0603</t>
  </si>
  <si>
    <t>Res0603</t>
  </si>
  <si>
    <t>RF1</t>
  </si>
  <si>
    <t>1M</t>
  </si>
  <si>
    <t>1K</t>
  </si>
  <si>
    <t>Panasonic</t>
  </si>
  <si>
    <t>CONN PWR JACK 2.1X5.5MM SOLDER</t>
  </si>
  <si>
    <t>TEST POINT</t>
  </si>
  <si>
    <t>Solder Bridge</t>
  </si>
  <si>
    <t>Resistor</t>
  </si>
  <si>
    <t xml:space="preserve">Unit Price </t>
  </si>
  <si>
    <t xml:space="preserve">Total Price </t>
  </si>
  <si>
    <t>NX3215SA-32.768K-STD-MUA-8</t>
  </si>
  <si>
    <t>NDK</t>
  </si>
  <si>
    <t>CRYSTAL 32.7680KHZ 12.5PF SMD</t>
  </si>
  <si>
    <t>Mosfet</t>
  </si>
  <si>
    <t>SOT23-3</t>
  </si>
  <si>
    <t>LCSC /MOQ</t>
  </si>
  <si>
    <t>LCSC</t>
  </si>
  <si>
    <t>Bill of Material (BOM) for Grant</t>
  </si>
  <si>
    <t>CAP CER 0.1UF 16V X7R 0402</t>
  </si>
  <si>
    <t>CAP CER 1UF 25V X5R 0402</t>
  </si>
  <si>
    <t>CAP CER 10000PF 25V X7R 0402</t>
  </si>
  <si>
    <t>CAP CER 20PF 25V C0H 0201</t>
  </si>
  <si>
    <t>33pF ±10% 25V NP0(C0G) 0402 Multilayer Ceramic Capacitors MLCC - SMD/SMT RoHS</t>
  </si>
  <si>
    <t>CAP CER 4.7UF 25V X5R 0603</t>
  </si>
  <si>
    <t>CAP CER 22UF 25V X5R 0805</t>
  </si>
  <si>
    <t>CAP TANT 220UF 20% 16V 2917</t>
  </si>
  <si>
    <t>CAP CER 220PF 50V C0G/NPO 0402</t>
  </si>
  <si>
    <t>DIODE SCHOTTKY 30V 1A SOD123W</t>
  </si>
  <si>
    <t>5.1V 800mW 5uA @ 1V SOD-123FL Zener Diodes RoHS</t>
  </si>
  <si>
    <t>DIODE SCHOTTKY 40V 3A SMA</t>
  </si>
  <si>
    <t>C2, C4</t>
  </si>
  <si>
    <t>C5, C27, CF6, CF7</t>
  </si>
  <si>
    <t>C19, C23</t>
  </si>
  <si>
    <t>C21, C25</t>
  </si>
  <si>
    <t>C22, C26, C33, C34, C35</t>
  </si>
  <si>
    <t>C31</t>
  </si>
  <si>
    <t>CF3</t>
  </si>
  <si>
    <t>CF17</t>
  </si>
  <si>
    <t>D2</t>
  </si>
  <si>
    <t>DF1</t>
  </si>
  <si>
    <t>Blue 465nm 0402 Light Emitting Diodes (LED) RoHS</t>
  </si>
  <si>
    <t>Green 573nm 0402 Light Emitting Diodes (LED) RoHS</t>
  </si>
  <si>
    <t>LED1, LED2</t>
  </si>
  <si>
    <t>LED3</t>
  </si>
  <si>
    <t>LED4, LEDF1</t>
  </si>
  <si>
    <t>Q1</t>
  </si>
  <si>
    <t>Q2</t>
  </si>
  <si>
    <t>Q4, Q5, Q6, QF3, QF4, QF7</t>
  </si>
  <si>
    <t>Q7</t>
  </si>
  <si>
    <t>Q8</t>
  </si>
  <si>
    <t>QF1</t>
  </si>
  <si>
    <t>MOSFET P-CHAN 24V SOT23</t>
  </si>
  <si>
    <t>MOSFET P-CH 20V 2.8A SOT-23</t>
  </si>
  <si>
    <t>MOSFET N-CH 50V 200MA SOT-23</t>
  </si>
  <si>
    <t>MOSFET 2N-CH 60V 0.32A 6TSSOP</t>
  </si>
  <si>
    <t>10uH ±20% 1.6A 230mΩ SMD,4.75x4.2x2mm Inductors (SMD) RoHS</t>
  </si>
  <si>
    <t>MS0420-100M</t>
  </si>
  <si>
    <t>COILMX</t>
  </si>
  <si>
    <t>15uH ±20% 2.5A 56mΩ SMD,8.0x8.0mm Inductors (SMD) RoHS</t>
  </si>
  <si>
    <t>L2</t>
  </si>
  <si>
    <t>SNR8040K-150M</t>
  </si>
  <si>
    <t>3L COILS</t>
  </si>
  <si>
    <t>Cap0402</t>
  </si>
  <si>
    <t>CC0402KRX7R7BB104</t>
  </si>
  <si>
    <t>GRM155R61E105KA12D</t>
  </si>
  <si>
    <t>Murata</t>
  </si>
  <si>
    <t>CC0402KRX7R8BB103</t>
  </si>
  <si>
    <t>Cap 0201</t>
  </si>
  <si>
    <t>GJM0336C1E200JB01D</t>
  </si>
  <si>
    <t>Walsin Tech Corp</t>
  </si>
  <si>
    <t>0402N330K250CT</t>
  </si>
  <si>
    <t>CL10A475KA8NQNC</t>
  </si>
  <si>
    <t>Samsung</t>
  </si>
  <si>
    <t>Cap0805</t>
  </si>
  <si>
    <t>GRM21BR61E226ME44L</t>
  </si>
  <si>
    <t>CAP2917</t>
  </si>
  <si>
    <t>T491X227M016AT</t>
  </si>
  <si>
    <t>CC0402JRNPO9BN221</t>
  </si>
  <si>
    <t>SOD123W</t>
  </si>
  <si>
    <t>PMEG3010ER,115</t>
  </si>
  <si>
    <t>Nexperia</t>
  </si>
  <si>
    <t>BZD27C5V1P_R1_00001</t>
  </si>
  <si>
    <t>PANJIT International</t>
  </si>
  <si>
    <t>B340A-13-F</t>
  </si>
  <si>
    <t>Diodes</t>
  </si>
  <si>
    <t>LED 0402</t>
  </si>
  <si>
    <t>TOGIALED</t>
  </si>
  <si>
    <t>TJ-S1005SW4TGLC6B-A5</t>
  </si>
  <si>
    <t>TJ-S1005SW4TGLC7K-A5</t>
  </si>
  <si>
    <t>DMP2045U-7</t>
  </si>
  <si>
    <t>PMV65XP,215</t>
  </si>
  <si>
    <t>BSS138LT1G</t>
  </si>
  <si>
    <t>BSS138PS,115</t>
  </si>
  <si>
    <t>Diodes Zetex</t>
  </si>
  <si>
    <t>S1</t>
  </si>
  <si>
    <t>XKB Enterprise</t>
  </si>
  <si>
    <t>B3U-1000P</t>
  </si>
  <si>
    <t>SWITCH TACTILE SPST-NO 0.05A 12V</t>
  </si>
  <si>
    <t>SW1</t>
  </si>
  <si>
    <t>Omron</t>
  </si>
  <si>
    <t>470 ±5% 1/16W ±100ppm/°C 0402 Chip Resistor - Surface Mount RoHS</t>
  </si>
  <si>
    <t>R1</t>
  </si>
  <si>
    <t>Res0402</t>
  </si>
  <si>
    <t>RTT02471JTH</t>
  </si>
  <si>
    <t>RALEC</t>
  </si>
  <si>
    <t>RES SMD 100K OHM 1% 1/5W 0402</t>
  </si>
  <si>
    <t>ERJPA2F1003X</t>
  </si>
  <si>
    <t>RES SMD 2K OHM 1% 1/16W 0402</t>
  </si>
  <si>
    <t>R5</t>
  </si>
  <si>
    <t>RC0402FR-072KL</t>
  </si>
  <si>
    <t>RES SMD 20K OHM 5% 1/16W 0402</t>
  </si>
  <si>
    <t>R6</t>
  </si>
  <si>
    <t>RC0402JR-0720KL</t>
  </si>
  <si>
    <t>RES SMD 30.9K OHM 1% 1/16W 0402</t>
  </si>
  <si>
    <t>R7</t>
  </si>
  <si>
    <t>AC0402FR-0730K9L</t>
  </si>
  <si>
    <t>R8, R9, RP2</t>
  </si>
  <si>
    <t>RES SMD 2.2K OHM 1% 1/16W 0402</t>
  </si>
  <si>
    <t>R10, R11, R31</t>
  </si>
  <si>
    <t>RC0402FR-072K2L</t>
  </si>
  <si>
    <t>CR0402JF0472G</t>
  </si>
  <si>
    <t>LIZ Elec</t>
  </si>
  <si>
    <t>RES SMD 47K OHM 1% 1/16W 0402</t>
  </si>
  <si>
    <t>RC0402FR-0747KL</t>
  </si>
  <si>
    <t>15K ±5% 1/10W ±200ppm/℃ 0402 Chip Resistor - Surface Mount RoHS</t>
  </si>
  <si>
    <t>R20</t>
  </si>
  <si>
    <t>RMC10-153JTH</t>
  </si>
  <si>
    <t>KAMAYA</t>
  </si>
  <si>
    <t>R21</t>
  </si>
  <si>
    <t>AC0603FR-071M4L</t>
  </si>
  <si>
    <t>RES SMD 71.5K OHM 1% 1/16W 0402</t>
  </si>
  <si>
    <t>R22</t>
  </si>
  <si>
    <t>AC0402FR-0771K5L</t>
  </si>
  <si>
    <t>RES 10K OHM 5% 1/10W 0402</t>
  </si>
  <si>
    <t>RK73B1ETTP103J</t>
  </si>
  <si>
    <t>KOA Speer</t>
  </si>
  <si>
    <t>RES SMD 133K OHM 1% 1/16W 0402</t>
  </si>
  <si>
    <t>R27</t>
  </si>
  <si>
    <t>RC0402FR-07133KL</t>
  </si>
  <si>
    <t>RES 49.9K OHM 1% 1/10W 0402</t>
  </si>
  <si>
    <t>R28</t>
  </si>
  <si>
    <t>RK73H1ETTP4992F</t>
  </si>
  <si>
    <t>UNI-ROYAL(Uniroyal Elec)</t>
  </si>
  <si>
    <t>RES SMD 1K OHM 5% 1/10W 0402</t>
  </si>
  <si>
    <t>RF2</t>
  </si>
  <si>
    <t>ERJ-2GEJ102X</t>
  </si>
  <si>
    <t>RES SMD 1M OHM 1% 1/16W 0402</t>
  </si>
  <si>
    <t>RF3, RF4</t>
  </si>
  <si>
    <t>RC0402FR-071ML</t>
  </si>
  <si>
    <t>RES SMD 13.3K OHM 1% 1/16W 0402</t>
  </si>
  <si>
    <t>RF16</t>
  </si>
  <si>
    <t>RC0402FR-0713K3L</t>
  </si>
  <si>
    <t>RES SMD 0 OHM JUMPER 1/16W 0402</t>
  </si>
  <si>
    <t>RF21, RF22, RF23, RF24</t>
  </si>
  <si>
    <t>RC0402JR-070RL</t>
  </si>
  <si>
    <t>RES SMD 118K OHM 1% 1/16W 0402</t>
  </si>
  <si>
    <t>RF31</t>
  </si>
  <si>
    <t>RES SMD 60.4K OHM 1% 1/16W 0402</t>
  </si>
  <si>
    <t>RP1</t>
  </si>
  <si>
    <t>RC0402FR-0760K4L</t>
  </si>
  <si>
    <t>RP3</t>
  </si>
  <si>
    <t>20pF</t>
  </si>
  <si>
    <t>100uF</t>
  </si>
  <si>
    <t>10pF</t>
  </si>
  <si>
    <t>33pF</t>
  </si>
  <si>
    <t>4.7UF</t>
  </si>
  <si>
    <t>22uF</t>
  </si>
  <si>
    <t>220uF</t>
  </si>
  <si>
    <t>220pF</t>
  </si>
  <si>
    <t>100K</t>
  </si>
  <si>
    <t>2K</t>
  </si>
  <si>
    <t>30.9K</t>
  </si>
  <si>
    <t>20K</t>
  </si>
  <si>
    <t>2.2K</t>
  </si>
  <si>
    <t>4.7K</t>
  </si>
  <si>
    <t>15K</t>
  </si>
  <si>
    <t>1.4M</t>
  </si>
  <si>
    <t>71.5K</t>
  </si>
  <si>
    <t>133K</t>
  </si>
  <si>
    <t>49.9K</t>
  </si>
  <si>
    <t>13.3K</t>
  </si>
  <si>
    <t>0R</t>
  </si>
  <si>
    <t>118K</t>
  </si>
  <si>
    <t>60.4K</t>
  </si>
  <si>
    <t>62K</t>
  </si>
  <si>
    <t>Diode</t>
  </si>
  <si>
    <t>Inductor</t>
  </si>
  <si>
    <t>Switch</t>
  </si>
  <si>
    <t>IC VREF SHUNT 18V 0.5% SOT23</t>
  </si>
  <si>
    <t>TLV431BFTA</t>
  </si>
  <si>
    <t>IC COMPARATOR LP DUAL 8-SOIC</t>
  </si>
  <si>
    <t>LM393DT</t>
  </si>
  <si>
    <t>STMicroelectronics</t>
  </si>
  <si>
    <t>IC MCU 32BIT 256KB FLASH 48TQFP</t>
  </si>
  <si>
    <t>SAMD21G18A-AUT</t>
  </si>
  <si>
    <t>UMTS/HSPA+ Module</t>
  </si>
  <si>
    <t>UC200T</t>
  </si>
  <si>
    <t>Quectel</t>
  </si>
  <si>
    <t>GLOBAL IOT EMBEDDED SIM CHIP</t>
  </si>
  <si>
    <t>SIM-ST-MFF2</t>
  </si>
  <si>
    <t>Hologram</t>
  </si>
  <si>
    <t>Step-Up Positive Adjustable 1 2A 1.2MHz SOT-23-6 DC-DC Converters RoHS</t>
  </si>
  <si>
    <t>U9</t>
  </si>
  <si>
    <t>SOT-23-6</t>
  </si>
  <si>
    <t>AX5523CA</t>
  </si>
  <si>
    <t>Axelite Tech</t>
  </si>
  <si>
    <t>IC MOTOR DRVR UNIPLR 8SO PWRPAD</t>
  </si>
  <si>
    <t>U10</t>
  </si>
  <si>
    <t>DRV8871DDAR</t>
  </si>
  <si>
    <t>U11</t>
  </si>
  <si>
    <t>IC LI-ION LDO CHARGE MGMT 8SOIC</t>
  </si>
  <si>
    <t>UF1</t>
  </si>
  <si>
    <t>BQ2057WSNTR</t>
  </si>
  <si>
    <t>IC REG BOOST ADJ 2A SOT23-5</t>
  </si>
  <si>
    <t>UF2</t>
  </si>
  <si>
    <t>SOT23-5</t>
  </si>
  <si>
    <t>IC REG BUCK ADJUSTABLE 3A 8SOPWR</t>
  </si>
  <si>
    <t>UF5</t>
  </si>
  <si>
    <t>TPS5430QDDARQ1</t>
  </si>
  <si>
    <t>CONN U.FL RCPT STR 50 OHM SMD</t>
  </si>
  <si>
    <t>U.FL-R-SMT-1(80)</t>
  </si>
  <si>
    <t>Hirose</t>
  </si>
  <si>
    <t>USB - Micro B Female USB 2 5 SMD USB Connectors RoHS</t>
  </si>
  <si>
    <t>J3</t>
  </si>
  <si>
    <t>C10418</t>
  </si>
  <si>
    <t>Jing Extension of the Electronic Co.</t>
  </si>
  <si>
    <t>CONN HEADER SMD 10POS 1.27MM</t>
  </si>
  <si>
    <t>20021121-00010C4LF</t>
  </si>
  <si>
    <t>CBL PLUG-OF-NAILS 10-PIN W/LEGS</t>
  </si>
  <si>
    <t>J5</t>
  </si>
  <si>
    <t>TC2050-IDC</t>
  </si>
  <si>
    <t>Tag-Connect</t>
  </si>
  <si>
    <t>SMD Battery Holders, Clips &amp; Contacts RoHS</t>
  </si>
  <si>
    <t>J6</t>
  </si>
  <si>
    <t>CR1220-2</t>
  </si>
  <si>
    <t>Q&amp;J</t>
  </si>
  <si>
    <t>P=5.0mm Screw terminal RoHS</t>
  </si>
  <si>
    <t>WJ301V-5.0-3P</t>
  </si>
  <si>
    <t>Ningbo Kangnex Elec</t>
  </si>
  <si>
    <t>WJ301V-5.0-2P</t>
  </si>
  <si>
    <t>P1</t>
  </si>
  <si>
    <t>Header 1x2</t>
  </si>
  <si>
    <t>1.4M ±1% ±100ppm/°C 0603 Chip Resistor - Surface Mount RoHS</t>
  </si>
  <si>
    <t xml:space="preserve">4.7K ±5% 1/16W ±200ppm/°C 0402 Chip Resistor - Surface Mount RoHS
</t>
  </si>
  <si>
    <t>CAP CER 10UF 16V X5R 0603</t>
  </si>
  <si>
    <t>EMK107BBJ106MA-T</t>
  </si>
  <si>
    <t>Taiyo Yuden</t>
  </si>
  <si>
    <t>CAP TANT POLY 100UF 16V 2917</t>
  </si>
  <si>
    <t>Cap 2917</t>
  </si>
  <si>
    <t>16TQC100MYF</t>
  </si>
  <si>
    <t>Cap 1411</t>
  </si>
  <si>
    <t>R12, R13, R14, R18, RF6, RF7, RF10, RF13</t>
  </si>
  <si>
    <t>R23, R24, R25, R26, RF5, RR1, RS1, RS2, RS3, RS4</t>
  </si>
  <si>
    <t>RES SMD 62K OHM 1% 1/16W 0402</t>
  </si>
  <si>
    <t>AC0402FR-0762KL</t>
  </si>
  <si>
    <t>40.2K ±1% 1/16W ±100ppm/°C 0402 Chip Resistor - Surface Mount RoHS</t>
  </si>
  <si>
    <t>RTT024022FTH</t>
  </si>
  <si>
    <t>40.2K</t>
  </si>
  <si>
    <t>RES SMD 80.6K OHM 1% 1/16W 0402</t>
  </si>
  <si>
    <t>AC0402FR-0780K6L</t>
  </si>
  <si>
    <t>80.6K</t>
  </si>
  <si>
    <t>0.068 ±1% 1/4W ±800ppm/°C 0805 Chip Resistor - Surface Mount RoHS</t>
  </si>
  <si>
    <t>0805W4F680MT5E</t>
  </si>
  <si>
    <t>0.068R</t>
  </si>
  <si>
    <t>Custom</t>
  </si>
  <si>
    <t>SOT-223</t>
  </si>
  <si>
    <t>SOT-363</t>
  </si>
  <si>
    <t>MICRO8</t>
  </si>
  <si>
    <t>8-SOIC</t>
  </si>
  <si>
    <t>8SOPWR</t>
  </si>
  <si>
    <t xml:space="preserve">8SO </t>
  </si>
  <si>
    <t>-----</t>
  </si>
  <si>
    <t xml:space="preserve">DO NOT MOUNT </t>
  </si>
  <si>
    <t>IC</t>
  </si>
  <si>
    <t xml:space="preserve">Connector </t>
  </si>
  <si>
    <t>Amphenol ICC'</t>
  </si>
  <si>
    <t>ZVN3310FTA</t>
  </si>
  <si>
    <t>MOSFET N-CH 100V 100mA SOT23</t>
  </si>
  <si>
    <t>Will be sourced from external supplier</t>
  </si>
  <si>
    <t>MCP7940N-I/SN</t>
  </si>
  <si>
    <t>X3, X1</t>
  </si>
  <si>
    <t xml:space="preserve"> XKB Enterprise</t>
  </si>
  <si>
    <t>DC-005-5A-2.5-SMT</t>
  </si>
  <si>
    <t>R2</t>
  </si>
  <si>
    <t>C16, C17, CX1, CX2</t>
  </si>
  <si>
    <t xml:space="preserve">Notes: </t>
  </si>
  <si>
    <t xml:space="preserve">2- Supplier costing and custom charges are added in the final cost. </t>
  </si>
  <si>
    <t>1- The costing is done for Four (4) boards. All components will be calculated with multiplication factor Four (4).</t>
  </si>
  <si>
    <t xml:space="preserve">Total Component Cost </t>
  </si>
  <si>
    <t>Custom Charges</t>
  </si>
  <si>
    <t>Shipping Charges</t>
  </si>
  <si>
    <t xml:space="preserve">Total </t>
  </si>
  <si>
    <t>SPDT 5A 120V On-On DIP Toggle Switches RoHS</t>
  </si>
  <si>
    <t>SS-12D11L5</t>
  </si>
  <si>
    <t>C3Z, C37, C40, CC, CE</t>
  </si>
  <si>
    <t>C4Z, C38</t>
  </si>
  <si>
    <t>D1, D3, D3Z</t>
  </si>
  <si>
    <t>L1, LZ</t>
  </si>
  <si>
    <t>R16, R17, R19, RB1, RF8, RF11, RF14, RZ</t>
  </si>
  <si>
    <t>R101, RP4</t>
  </si>
  <si>
    <t>J2</t>
  </si>
  <si>
    <t>P2, P3, P12, P13, P14, P15, P16</t>
  </si>
  <si>
    <t>SB1, SB2, SB4, SB5, SB6, SB11, SB11x, SB12, SB13, SB14, SB15, SB16, SB17, SB18, SB19, SB20, SB_AD, SB_ZD</t>
  </si>
  <si>
    <t>P17</t>
  </si>
  <si>
    <t>2 PIN JST Connector</t>
  </si>
  <si>
    <t>Crystal</t>
  </si>
  <si>
    <t>out of stock</t>
  </si>
  <si>
    <t>10pF ±5% 50V NP0 0402</t>
  </si>
  <si>
    <t>CC0402JRNPO9BN100</t>
  </si>
  <si>
    <t>CAP TANT 4.7UF 20% 35V 1411</t>
  </si>
  <si>
    <t>TC211B475M035Y</t>
  </si>
  <si>
    <t>Sunlord</t>
  </si>
  <si>
    <t>Red 615-635nm 0402 LED</t>
  </si>
  <si>
    <t>2SA0402S11A0JT01</t>
  </si>
  <si>
    <t>Brightek Optoelectronics</t>
  </si>
  <si>
    <t>TRANS PNP 60V 3A SOT-223</t>
  </si>
  <si>
    <t>NZT660</t>
  </si>
  <si>
    <t>0402WGF1183TCE</t>
  </si>
  <si>
    <t xml:space="preserve"> LMR62014XMFX/NOPB</t>
  </si>
  <si>
    <t>CF2</t>
  </si>
  <si>
    <t>CAP CER 2.2UF 16V X5R 0402</t>
  </si>
  <si>
    <t>CR1</t>
  </si>
  <si>
    <t>CL05A225KO5NQNC</t>
  </si>
  <si>
    <t>2.2uF</t>
  </si>
  <si>
    <t>CAP CER 100nF 25V X7R 0402</t>
  </si>
  <si>
    <t>C1, C3, C10, C11, C12, C13, C14, C15, C18, C20, C24, C29, C30, C32, C36, CD, CF, CF1</t>
  </si>
  <si>
    <t>C6</t>
  </si>
  <si>
    <t>CC0402KRX7R8BB104</t>
  </si>
  <si>
    <t>100nF</t>
  </si>
  <si>
    <t>TVS Diode Bidirectional 3.3V Standoff</t>
  </si>
  <si>
    <t>D4</t>
  </si>
  <si>
    <t>ESD9B3.3ST5G-N</t>
  </si>
  <si>
    <t>Bourne Semicon</t>
  </si>
  <si>
    <t>TVS DIODE 5V 6.8V 6UDFN</t>
  </si>
  <si>
    <t>U2</t>
  </si>
  <si>
    <t>UDFN-6</t>
  </si>
  <si>
    <t>SP3014-02UTG</t>
  </si>
  <si>
    <t>Littlefuse</t>
  </si>
  <si>
    <t>-</t>
  </si>
  <si>
    <t>2 PIN JST Connector Mating Part</t>
  </si>
  <si>
    <t>LCSC Part Number</t>
  </si>
  <si>
    <t>C60474</t>
  </si>
  <si>
    <t>C77009</t>
  </si>
  <si>
    <t>C327025</t>
  </si>
  <si>
    <t>C90058</t>
  </si>
  <si>
    <t>C161300</t>
  </si>
  <si>
    <t>C109085</t>
  </si>
  <si>
    <t>C106199</t>
  </si>
  <si>
    <t>C387979</t>
  </si>
  <si>
    <t>C69335</t>
  </si>
  <si>
    <t>C86816</t>
  </si>
  <si>
    <t>C128334</t>
  </si>
  <si>
    <t>C117040</t>
  </si>
  <si>
    <t>C170151</t>
  </si>
  <si>
    <t>C105883</t>
  </si>
  <si>
    <t>C107001</t>
  </si>
  <si>
    <t>C456106</t>
  </si>
  <si>
    <t>C313479</t>
  </si>
  <si>
    <t>C316039</t>
  </si>
  <si>
    <t>C85098</t>
  </si>
  <si>
    <t>C233194</t>
  </si>
  <si>
    <t>C273603</t>
  </si>
  <si>
    <t>C273601</t>
  </si>
  <si>
    <t>C459541</t>
  </si>
  <si>
    <t>C75561</t>
  </si>
  <si>
    <t>C8490</t>
  </si>
  <si>
    <t>C110533</t>
  </si>
  <si>
    <t>C193381</t>
  </si>
  <si>
    <t>C274629</t>
  </si>
  <si>
    <t>C380158</t>
  </si>
  <si>
    <t>C326353</t>
  </si>
  <si>
    <t>C319010</t>
  </si>
  <si>
    <t>C231329</t>
  </si>
  <si>
    <t>C103058</t>
  </si>
  <si>
    <t>C427253</t>
  </si>
  <si>
    <t>C60488</t>
  </si>
  <si>
    <t>C227238</t>
  </si>
  <si>
    <t>C226983</t>
  </si>
  <si>
    <t>C137902</t>
  </si>
  <si>
    <t>C114762</t>
  </si>
  <si>
    <t>C100658</t>
  </si>
  <si>
    <t>C93943</t>
  </si>
  <si>
    <t>C323744</t>
  </si>
  <si>
    <t>C227673</t>
  </si>
  <si>
    <t>C227214</t>
  </si>
  <si>
    <t>C159873</t>
  </si>
  <si>
    <t>C327374</t>
  </si>
  <si>
    <t>C173335</t>
  </si>
  <si>
    <t>Res0805</t>
  </si>
  <si>
    <t>C52472</t>
  </si>
  <si>
    <t>C105637</t>
  </si>
  <si>
    <t>C138033</t>
  </si>
  <si>
    <t>C60485</t>
  </si>
  <si>
    <t>C274352</t>
  </si>
  <si>
    <t>C25748</t>
  </si>
  <si>
    <t>C327333</t>
  </si>
  <si>
    <t>C144742</t>
  </si>
  <si>
    <t>C103027</t>
  </si>
  <si>
    <t>C154793</t>
  </si>
  <si>
    <t>C207282</t>
  </si>
  <si>
    <t>C189220</t>
  </si>
  <si>
    <t>C32901</t>
  </si>
  <si>
    <t>TQFP-48</t>
  </si>
  <si>
    <t>C78624</t>
  </si>
  <si>
    <t>C157694</t>
  </si>
  <si>
    <t>C75864</t>
  </si>
  <si>
    <t>C51106</t>
  </si>
  <si>
    <t>C32756</t>
  </si>
  <si>
    <t>C468235</t>
  </si>
  <si>
    <t>C388178</t>
  </si>
  <si>
    <t>C156245</t>
  </si>
  <si>
    <t>C150517</t>
  </si>
  <si>
    <t>C70381</t>
  </si>
  <si>
    <t>C8483</t>
  </si>
  <si>
    <t>C8475</t>
  </si>
  <si>
    <t>C319133</t>
  </si>
  <si>
    <t>C390678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</si>
</sst>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6" formatCode="&quot;$&quot;#,##0_);[Red]\(&quot;$&quot;#,##0\)"/>
    <numFmt numFmtId="8" formatCode="&quot;$&quot;#,##0.00_);[Red]\(&quot;$&quot;#,##0.00\)"/>
    <numFmt numFmtId="164" formatCode="&quot;$&quot;#,##0.000_);[Red]\(&quot;$&quot;#,##0.000\)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49" fontId="2" fillId="3" borderId="1" xfId="1" quotePrefix="1" applyNumberForma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2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1" quotePrefix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1" xfId="0" quotePrefix="1" applyFont="1" applyBorder="1" applyAlignment="1">
      <alignment vertical="center" wrapText="1"/>
    </xf>
    <xf numFmtId="0" fontId="4" fillId="0" borderId="1" xfId="0" quotePrefix="1" applyFont="1" applyBorder="1" applyAlignment="1">
      <alignment vertical="center"/>
    </xf>
    <xf numFmtId="0" fontId="4" fillId="0" borderId="1" xfId="0" quotePrefix="1" applyFont="1" applyBorder="1" applyAlignment="1">
      <alignment horizontal="center" vertical="center" wrapText="1"/>
    </xf>
    <xf numFmtId="0" fontId="4" fillId="0" borderId="11" xfId="0" quotePrefix="1" applyFont="1" applyBorder="1" applyAlignment="1">
      <alignment vertical="center" wrapText="1"/>
    </xf>
    <xf numFmtId="0" fontId="4" fillId="0" borderId="11" xfId="0" quotePrefix="1" applyFont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2" fillId="3" borderId="11" xfId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4" fillId="0" borderId="14" xfId="0" quotePrefix="1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2" fillId="3" borderId="14" xfId="1" applyFill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49" fontId="2" fillId="3" borderId="14" xfId="1" quotePrefix="1" applyNumberForma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vertical="center"/>
    </xf>
    <xf numFmtId="0" fontId="4" fillId="0" borderId="11" xfId="0" quotePrefix="1" applyFont="1" applyBorder="1" applyAlignment="1">
      <alignment horizontal="center" vertical="center" wrapText="1"/>
    </xf>
    <xf numFmtId="0" fontId="4" fillId="0" borderId="14" xfId="0" quotePrefix="1" applyFont="1" applyBorder="1" applyAlignment="1">
      <alignment vertical="center" wrapText="1"/>
    </xf>
    <xf numFmtId="0" fontId="4" fillId="0" borderId="14" xfId="0" quotePrefix="1" applyFont="1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2" fillId="0" borderId="14" xfId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1" xfId="1" applyBorder="1" applyAlignment="1">
      <alignment horizontal="center" vertical="center"/>
    </xf>
    <xf numFmtId="0" fontId="4" fillId="0" borderId="17" xfId="0" quotePrefix="1" applyFont="1" applyBorder="1" applyAlignment="1">
      <alignment horizontal="left" vertical="center" wrapText="1"/>
    </xf>
    <xf numFmtId="0" fontId="4" fillId="0" borderId="18" xfId="0" quotePrefix="1" applyFont="1" applyBorder="1" applyAlignment="1">
      <alignment horizontal="left" vertical="center" wrapText="1"/>
    </xf>
    <xf numFmtId="0" fontId="5" fillId="3" borderId="21" xfId="0" applyFont="1" applyFill="1" applyBorder="1" applyAlignment="1">
      <alignment horizontal="center" vertical="center"/>
    </xf>
    <xf numFmtId="0" fontId="4" fillId="0" borderId="19" xfId="0" quotePrefix="1" applyFont="1" applyBorder="1" applyAlignment="1">
      <alignment horizontal="left" vertical="center" wrapText="1"/>
    </xf>
    <xf numFmtId="0" fontId="4" fillId="0" borderId="17" xfId="0" quotePrefix="1" applyFont="1" applyBorder="1" applyAlignment="1">
      <alignment horizontal="left" vertical="center"/>
    </xf>
    <xf numFmtId="0" fontId="4" fillId="0" borderId="18" xfId="0" quotePrefix="1" applyFont="1" applyBorder="1" applyAlignment="1">
      <alignment horizontal="left" vertical="center"/>
    </xf>
    <xf numFmtId="0" fontId="4" fillId="0" borderId="19" xfId="0" quotePrefix="1" applyFont="1" applyBorder="1" applyAlignment="1">
      <alignment horizontal="left" vertical="center"/>
    </xf>
    <xf numFmtId="0" fontId="4" fillId="0" borderId="18" xfId="0" quotePrefix="1" applyFont="1" applyBorder="1" applyAlignment="1">
      <alignment horizontal="left"/>
    </xf>
    <xf numFmtId="0" fontId="4" fillId="0" borderId="16" xfId="0" quotePrefix="1" applyFont="1" applyBorder="1" applyAlignment="1">
      <alignment horizontal="center" vertical="center"/>
    </xf>
    <xf numFmtId="0" fontId="4" fillId="0" borderId="22" xfId="0" quotePrefix="1" applyFont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8" fontId="4" fillId="0" borderId="11" xfId="0" quotePrefix="1" applyNumberFormat="1" applyFont="1" applyBorder="1" applyAlignment="1">
      <alignment horizontal="center" vertical="center"/>
    </xf>
    <xf numFmtId="8" fontId="4" fillId="0" borderId="1" xfId="0" quotePrefix="1" applyNumberFormat="1" applyFont="1" applyBorder="1" applyAlignment="1">
      <alignment horizontal="center" vertical="center"/>
    </xf>
    <xf numFmtId="8" fontId="4" fillId="0" borderId="14" xfId="0" quotePrefix="1" applyNumberFormat="1" applyFont="1" applyBorder="1" applyAlignment="1">
      <alignment horizontal="center" vertical="center"/>
    </xf>
    <xf numFmtId="164" fontId="4" fillId="0" borderId="11" xfId="0" quotePrefix="1" applyNumberFormat="1" applyFont="1" applyBorder="1" applyAlignment="1">
      <alignment horizontal="center" vertical="center"/>
    </xf>
    <xf numFmtId="164" fontId="4" fillId="0" borderId="1" xfId="0" quotePrefix="1" applyNumberFormat="1" applyFont="1" applyBorder="1" applyAlignment="1">
      <alignment horizontal="center" vertical="center"/>
    </xf>
    <xf numFmtId="164" fontId="4" fillId="0" borderId="14" xfId="0" quotePrefix="1" applyNumberFormat="1" applyFont="1" applyBorder="1" applyAlignment="1">
      <alignment horizontal="center" vertical="center"/>
    </xf>
    <xf numFmtId="0" fontId="2" fillId="4" borderId="1" xfId="1" applyFill="1" applyBorder="1" applyAlignment="1">
      <alignment horizontal="center" vertical="center"/>
    </xf>
    <xf numFmtId="8" fontId="4" fillId="0" borderId="23" xfId="0" quotePrefix="1" applyNumberFormat="1" applyFont="1" applyBorder="1" applyAlignment="1">
      <alignment horizontal="center" vertical="center"/>
    </xf>
    <xf numFmtId="0" fontId="4" fillId="4" borderId="1" xfId="0" quotePrefix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4" fillId="4" borderId="1" xfId="0" quotePrefix="1" applyNumberFormat="1" applyFont="1" applyFill="1" applyBorder="1" applyAlignment="1">
      <alignment horizontal="center" vertical="center"/>
    </xf>
    <xf numFmtId="8" fontId="4" fillId="4" borderId="1" xfId="0" quotePrefix="1" applyNumberFormat="1" applyFont="1" applyFill="1" applyBorder="1" applyAlignment="1">
      <alignment horizontal="center" vertical="center"/>
    </xf>
    <xf numFmtId="0" fontId="0" fillId="4" borderId="13" xfId="0" applyFill="1" applyBorder="1" applyAlignment="1">
      <alignment vertical="center"/>
    </xf>
    <xf numFmtId="0" fontId="0" fillId="3" borderId="23" xfId="0" applyFill="1" applyBorder="1" applyAlignment="1">
      <alignment horizontal="center" vertical="center"/>
    </xf>
    <xf numFmtId="0" fontId="4" fillId="4" borderId="18" xfId="0" quotePrefix="1" applyFont="1" applyFill="1" applyBorder="1" applyAlignment="1">
      <alignment horizontal="left" vertical="center" wrapText="1"/>
    </xf>
    <xf numFmtId="0" fontId="4" fillId="4" borderId="1" xfId="0" quotePrefix="1" applyFont="1" applyFill="1" applyBorder="1" applyAlignment="1">
      <alignment vertical="center" wrapText="1"/>
    </xf>
    <xf numFmtId="0" fontId="4" fillId="4" borderId="1" xfId="0" quotePrefix="1" applyFont="1" applyFill="1" applyBorder="1" applyAlignment="1">
      <alignment horizontal="center" vertical="center" wrapText="1"/>
    </xf>
    <xf numFmtId="0" fontId="4" fillId="5" borderId="18" xfId="0" quotePrefix="1" applyFont="1" applyFill="1" applyBorder="1" applyAlignment="1">
      <alignment horizontal="left" vertical="center" wrapText="1"/>
    </xf>
    <xf numFmtId="0" fontId="4" fillId="5" borderId="1" xfId="0" quotePrefix="1" applyFont="1" applyFill="1" applyBorder="1" applyAlignment="1">
      <alignment vertical="center" wrapText="1"/>
    </xf>
    <xf numFmtId="0" fontId="4" fillId="5" borderId="1" xfId="0" quotePrefix="1" applyFont="1" applyFill="1" applyBorder="1" applyAlignment="1">
      <alignment horizontal="center" vertical="center" wrapText="1"/>
    </xf>
    <xf numFmtId="0" fontId="4" fillId="5" borderId="1" xfId="0" quotePrefix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4" fillId="5" borderId="1" xfId="0" quotePrefix="1" applyNumberFormat="1" applyFont="1" applyFill="1" applyBorder="1" applyAlignment="1">
      <alignment horizontal="center" vertical="center"/>
    </xf>
    <xf numFmtId="8" fontId="4" fillId="5" borderId="8" xfId="0" quotePrefix="1" applyNumberFormat="1" applyFont="1" applyFill="1" applyBorder="1" applyAlignment="1">
      <alignment horizontal="center" vertical="center"/>
    </xf>
    <xf numFmtId="0" fontId="0" fillId="5" borderId="13" xfId="0" applyFill="1" applyBorder="1" applyAlignment="1">
      <alignment vertical="center"/>
    </xf>
    <xf numFmtId="0" fontId="6" fillId="5" borderId="1" xfId="0" quotePrefix="1" applyFont="1" applyFill="1" applyBorder="1" applyAlignment="1">
      <alignment horizontal="center" vertical="center"/>
    </xf>
    <xf numFmtId="8" fontId="4" fillId="5" borderId="1" xfId="0" quotePrefix="1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wrapText="1"/>
    </xf>
    <xf numFmtId="165" fontId="7" fillId="2" borderId="21" xfId="0" applyNumberFormat="1" applyFont="1" applyFill="1" applyBorder="1" applyAlignment="1">
      <alignment horizontal="center" vertical="center"/>
    </xf>
    <xf numFmtId="6" fontId="7" fillId="2" borderId="2" xfId="0" applyNumberFormat="1" applyFont="1" applyFill="1" applyBorder="1" applyAlignment="1">
      <alignment horizontal="center"/>
    </xf>
    <xf numFmtId="0" fontId="4" fillId="3" borderId="17" xfId="0" quotePrefix="1" applyFont="1" applyFill="1" applyBorder="1" applyAlignment="1">
      <alignment horizontal="left" vertical="center" wrapText="1"/>
    </xf>
    <xf numFmtId="0" fontId="4" fillId="3" borderId="11" xfId="0" quotePrefix="1" applyFont="1" applyFill="1" applyBorder="1" applyAlignment="1">
      <alignment vertical="center" wrapText="1"/>
    </xf>
    <xf numFmtId="0" fontId="4" fillId="3" borderId="11" xfId="0" quotePrefix="1" applyFont="1" applyFill="1" applyBorder="1" applyAlignment="1">
      <alignment horizontal="center" vertical="center"/>
    </xf>
    <xf numFmtId="0" fontId="4" fillId="3" borderId="11" xfId="0" quotePrefix="1" applyFont="1" applyFill="1" applyBorder="1" applyAlignment="1">
      <alignment horizontal="center" vertical="center" wrapText="1"/>
    </xf>
    <xf numFmtId="164" fontId="4" fillId="3" borderId="11" xfId="0" quotePrefix="1" applyNumberFormat="1" applyFont="1" applyFill="1" applyBorder="1" applyAlignment="1">
      <alignment horizontal="center" vertical="center"/>
    </xf>
    <xf numFmtId="8" fontId="4" fillId="3" borderId="11" xfId="0" quotePrefix="1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vertical="center"/>
    </xf>
    <xf numFmtId="0" fontId="4" fillId="0" borderId="23" xfId="0" quotePrefix="1" applyFont="1" applyBorder="1" applyAlignment="1">
      <alignment vertical="center" wrapText="1"/>
    </xf>
    <xf numFmtId="0" fontId="0" fillId="0" borderId="13" xfId="0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4" fillId="3" borderId="18" xfId="0" quotePrefix="1" applyFont="1" applyFill="1" applyBorder="1" applyAlignment="1">
      <alignment horizontal="left" vertical="center" wrapText="1"/>
    </xf>
    <xf numFmtId="0" fontId="4" fillId="3" borderId="1" xfId="0" quotePrefix="1" applyFont="1" applyFill="1" applyBorder="1" applyAlignment="1">
      <alignment vertical="center"/>
    </xf>
    <xf numFmtId="0" fontId="4" fillId="3" borderId="1" xfId="0" quotePrefix="1" applyFont="1" applyFill="1" applyBorder="1" applyAlignment="1">
      <alignment horizontal="center" vertical="center"/>
    </xf>
    <xf numFmtId="164" fontId="4" fillId="3" borderId="1" xfId="0" quotePrefix="1" applyNumberFormat="1" applyFont="1" applyFill="1" applyBorder="1" applyAlignment="1">
      <alignment horizontal="center" vertical="center"/>
    </xf>
    <xf numFmtId="8" fontId="4" fillId="3" borderId="1" xfId="0" quotePrefix="1" applyNumberFormat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4" fillId="3" borderId="18" xfId="0" quotePrefix="1" applyFont="1" applyFill="1" applyBorder="1" applyAlignment="1">
      <alignment horizontal="left" vertical="center"/>
    </xf>
    <xf numFmtId="0" fontId="4" fillId="3" borderId="17" xfId="0" quotePrefix="1" applyFont="1" applyFill="1" applyBorder="1" applyAlignment="1">
      <alignment horizontal="left" vertical="center"/>
    </xf>
    <xf numFmtId="0" fontId="4" fillId="3" borderId="11" xfId="0" quotePrefix="1" applyFont="1" applyFill="1" applyBorder="1" applyAlignment="1">
      <alignment vertical="center"/>
    </xf>
    <xf numFmtId="0" fontId="4" fillId="3" borderId="19" xfId="0" quotePrefix="1" applyFont="1" applyFill="1" applyBorder="1" applyAlignment="1">
      <alignment horizontal="left" vertical="center"/>
    </xf>
    <xf numFmtId="0" fontId="4" fillId="3" borderId="14" xfId="0" quotePrefix="1" applyFont="1" applyFill="1" applyBorder="1" applyAlignment="1">
      <alignment vertical="center"/>
    </xf>
    <xf numFmtId="0" fontId="4" fillId="3" borderId="14" xfId="0" quotePrefix="1" applyFont="1" applyFill="1" applyBorder="1" applyAlignment="1">
      <alignment horizontal="center" vertical="center"/>
    </xf>
    <xf numFmtId="0" fontId="2" fillId="3" borderId="14" xfId="1" quotePrefix="1" applyFill="1" applyBorder="1" applyAlignment="1">
      <alignment horizontal="center" vertical="center"/>
    </xf>
    <xf numFmtId="164" fontId="4" fillId="3" borderId="14" xfId="0" quotePrefix="1" applyNumberFormat="1" applyFont="1" applyFill="1" applyBorder="1" applyAlignment="1">
      <alignment horizontal="center" vertical="center"/>
    </xf>
    <xf numFmtId="8" fontId="4" fillId="3" borderId="14" xfId="0" quotePrefix="1" applyNumberFormat="1" applyFont="1" applyFill="1" applyBorder="1" applyAlignment="1">
      <alignment horizontal="center" vertical="center"/>
    </xf>
    <xf numFmtId="0" fontId="4" fillId="3" borderId="1" xfId="0" quotePrefix="1" applyFont="1" applyFill="1" applyBorder="1" applyAlignment="1">
      <alignment vertical="center" wrapText="1"/>
    </xf>
    <xf numFmtId="0" fontId="4" fillId="3" borderId="1" xfId="0" quotePrefix="1" applyFont="1" applyFill="1" applyBorder="1" applyAlignment="1">
      <alignment horizontal="center" vertical="center" wrapText="1"/>
    </xf>
    <xf numFmtId="8" fontId="4" fillId="4" borderId="22" xfId="0" quotePrefix="1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4" fillId="0" borderId="31" xfId="0" quotePrefix="1" applyFont="1" applyBorder="1" applyAlignment="1">
      <alignment horizontal="left" vertical="center"/>
    </xf>
    <xf numFmtId="0" fontId="4" fillId="0" borderId="32" xfId="0" quotePrefix="1" applyFont="1" applyBorder="1" applyAlignment="1">
      <alignment vertical="center"/>
    </xf>
    <xf numFmtId="0" fontId="4" fillId="0" borderId="32" xfId="0" quotePrefix="1" applyFont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49" fontId="2" fillId="3" borderId="32" xfId="1" quotePrefix="1" applyNumberFormat="1" applyFill="1" applyBorder="1" applyAlignment="1">
      <alignment horizontal="center" vertical="center" wrapText="1"/>
    </xf>
    <xf numFmtId="164" fontId="4" fillId="0" borderId="32" xfId="0" quotePrefix="1" applyNumberFormat="1" applyFont="1" applyBorder="1" applyAlignment="1">
      <alignment horizontal="center" vertical="center"/>
    </xf>
    <xf numFmtId="0" fontId="0" fillId="0" borderId="33" xfId="0" applyBorder="1" applyAlignment="1">
      <alignment vertical="center"/>
    </xf>
    <xf numFmtId="0" fontId="4" fillId="0" borderId="23" xfId="0" quotePrefix="1" applyFont="1" applyBorder="1" applyAlignment="1">
      <alignment horizontal="center" vertical="center" wrapText="1"/>
    </xf>
    <xf numFmtId="0" fontId="4" fillId="0" borderId="23" xfId="0" quotePrefix="1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2" fillId="0" borderId="23" xfId="1" applyBorder="1" applyAlignment="1">
      <alignment horizontal="center" vertical="center"/>
    </xf>
    <xf numFmtId="164" fontId="4" fillId="0" borderId="23" xfId="0" quotePrefix="1" applyNumberFormat="1" applyFont="1" applyBorder="1" applyAlignment="1">
      <alignment horizontal="center" vertical="center"/>
    </xf>
    <xf numFmtId="0" fontId="0" fillId="0" borderId="34" xfId="0" applyBorder="1" applyAlignment="1">
      <alignment vertical="center"/>
    </xf>
    <xf numFmtId="0" fontId="6" fillId="0" borderId="1" xfId="0" quotePrefix="1" applyFont="1" applyBorder="1"/>
    <xf numFmtId="0" fontId="4" fillId="4" borderId="36" xfId="0" quotePrefix="1" applyFont="1" applyFill="1" applyBorder="1" applyAlignment="1">
      <alignment horizontal="left" vertical="center" wrapText="1"/>
    </xf>
    <xf numFmtId="0" fontId="4" fillId="4" borderId="22" xfId="0" quotePrefix="1" applyFont="1" applyFill="1" applyBorder="1" applyAlignment="1">
      <alignment horizontal="center" vertical="center"/>
    </xf>
    <xf numFmtId="0" fontId="6" fillId="4" borderId="22" xfId="0" quotePrefix="1" applyFont="1" applyFill="1" applyBorder="1" applyAlignment="1">
      <alignment vertical="center"/>
    </xf>
    <xf numFmtId="0" fontId="6" fillId="4" borderId="22" xfId="0" quotePrefix="1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164" fontId="4" fillId="4" borderId="22" xfId="0" quotePrefix="1" applyNumberFormat="1" applyFont="1" applyFill="1" applyBorder="1" applyAlignment="1">
      <alignment horizontal="center" vertical="center"/>
    </xf>
    <xf numFmtId="0" fontId="0" fillId="4" borderId="37" xfId="0" applyFill="1" applyBorder="1" applyAlignment="1">
      <alignment vertical="center"/>
    </xf>
    <xf numFmtId="0" fontId="4" fillId="4" borderId="1" xfId="0" quotePrefix="1" applyFont="1" applyFill="1" applyBorder="1" applyAlignment="1">
      <alignment horizontal="left" vertical="center" wrapText="1"/>
    </xf>
    <xf numFmtId="0" fontId="6" fillId="4" borderId="1" xfId="0" quotePrefix="1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4" fillId="4" borderId="17" xfId="0" quotePrefix="1" applyFont="1" applyFill="1" applyBorder="1" applyAlignment="1">
      <alignment horizontal="left" vertical="center" wrapText="1"/>
    </xf>
    <xf numFmtId="0" fontId="4" fillId="4" borderId="11" xfId="0" quotePrefix="1" applyFont="1" applyFill="1" applyBorder="1" applyAlignment="1">
      <alignment vertical="center" wrapText="1"/>
    </xf>
    <xf numFmtId="0" fontId="4" fillId="4" borderId="11" xfId="0" quotePrefix="1" applyFont="1" applyFill="1" applyBorder="1" applyAlignment="1">
      <alignment horizontal="center" vertical="center"/>
    </xf>
    <xf numFmtId="0" fontId="4" fillId="4" borderId="11" xfId="0" quotePrefix="1" applyFont="1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/>
    </xf>
    <xf numFmtId="0" fontId="2" fillId="4" borderId="11" xfId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left"/>
    </xf>
    <xf numFmtId="0" fontId="7" fillId="2" borderId="12" xfId="0" applyFont="1" applyFill="1" applyBorder="1" applyAlignment="1">
      <alignment horizontal="left"/>
    </xf>
    <xf numFmtId="0" fontId="7" fillId="2" borderId="25" xfId="0" applyFont="1" applyFill="1" applyBorder="1" applyAlignment="1">
      <alignment horizontal="left"/>
    </xf>
    <xf numFmtId="0" fontId="7" fillId="2" borderId="14" xfId="0" applyFont="1" applyFill="1" applyBorder="1" applyAlignment="1">
      <alignment horizontal="left"/>
    </xf>
    <xf numFmtId="0" fontId="7" fillId="2" borderId="15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7" fillId="2" borderId="3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lcsc.com/product-detail/Tantalum-Capacitors_PANASONIC-16TQC100MYF_C109085.html" TargetMode="External"/><Relationship Id="rId21" Type="http://schemas.openxmlformats.org/officeDocument/2006/relationships/hyperlink" Target="https://lcsc.com/product-detail/Inductors-SMD_COILMX-MS0420-100M_C380158.html" TargetMode="External"/><Relationship Id="rId42" Type="http://schemas.openxmlformats.org/officeDocument/2006/relationships/hyperlink" Target="https://lcsc.com/product-detail/Chip-Resistor-Surface-Mount_UNI-ROYAL-Uniroyal-Elec-0805W4F680MT5E_C52472.html" TargetMode="External"/><Relationship Id="rId47" Type="http://schemas.openxmlformats.org/officeDocument/2006/relationships/hyperlink" Target="https://lcsc.com/product-detail/Chip-Resistor-Surface-Mount_62KR-6202-1_C144742.html" TargetMode="External"/><Relationship Id="rId63" Type="http://schemas.openxmlformats.org/officeDocument/2006/relationships/hyperlink" Target="https://lcsc.com/product-detail/Pluggable-System-Terminal-Block_Ningbo-Kangnex-Elec-WJ301V-5-0-2P_C8475.html" TargetMode="External"/><Relationship Id="rId68" Type="http://schemas.openxmlformats.org/officeDocument/2006/relationships/hyperlink" Target="https://lcsc.com/product-detail/Power-Connectors_XKB-Enterprise-DC-005-5A-2-5-SMT_C319133.html" TargetMode="External"/><Relationship Id="rId16" Type="http://schemas.openxmlformats.org/officeDocument/2006/relationships/hyperlink" Target="https://lcsc.com/product-detail/MOSFET_Nexperia-PMV65XP-215_C75561.html" TargetMode="External"/><Relationship Id="rId11" Type="http://schemas.openxmlformats.org/officeDocument/2006/relationships/hyperlink" Target="https://lcsc.com/product-detail/Zener-Diodes_PANJIT-International-BZD27C5V1P-R1-00001_C313479.html" TargetMode="External"/><Relationship Id="rId24" Type="http://schemas.openxmlformats.org/officeDocument/2006/relationships/hyperlink" Target="https://lcsc.com/product-detail/Others_Omron-Electronics_B3U-1000P_Omron-Electronics-B3U-1000P_C231329.html" TargetMode="External"/><Relationship Id="rId32" Type="http://schemas.openxmlformats.org/officeDocument/2006/relationships/hyperlink" Target="https://lcsc.com/product-detail/Chip-Resistor-Surface-Mount_2-2KR-2201-1_C114762.html" TargetMode="External"/><Relationship Id="rId37" Type="http://schemas.openxmlformats.org/officeDocument/2006/relationships/hyperlink" Target="https://lcsc.com/product-detail/Chip-Resistor-Surface-Mount_YAGEO-AC0402FR-0771K5L_C227214.html" TargetMode="External"/><Relationship Id="rId40" Type="http://schemas.openxmlformats.org/officeDocument/2006/relationships/hyperlink" Target="https://lcsc.com/product-detail/Chip-Resistor-Surface-Mount_YAGEO-RC0402FR-07133KL_C327374.html" TargetMode="External"/><Relationship Id="rId45" Type="http://schemas.openxmlformats.org/officeDocument/2006/relationships/hyperlink" Target="https://lcsc.com/product-detail/Chip-Resistor-Surface-Mount_YAGEO-RC0402JR-070RL_C60485.html" TargetMode="External"/><Relationship Id="rId53" Type="http://schemas.openxmlformats.org/officeDocument/2006/relationships/hyperlink" Target="https://lcsc.com/product-detail/Motor-Drivers_Texas-Instruments_DRV8871DDAR_Texas-Instruments-Texas-Instruments-DRV8871DDAR_C75864.html" TargetMode="External"/><Relationship Id="rId58" Type="http://schemas.openxmlformats.org/officeDocument/2006/relationships/hyperlink" Target="https://lcsc.com/product-detail/RF-Connectors-Coaxial-Connectors_HRS-Hirose_U-FL-R-SMT-1-80_HRS-Hirose-HRS-U-FL-R-SMT-1-80_C88374.html" TargetMode="External"/><Relationship Id="rId66" Type="http://schemas.openxmlformats.org/officeDocument/2006/relationships/hyperlink" Target="https://lcsc.com/product-detail/ATMEL-AVR_Microchip-Tech-ATSAMD21G18A-AU_C78624.html" TargetMode="External"/><Relationship Id="rId74" Type="http://schemas.openxmlformats.org/officeDocument/2006/relationships/hyperlink" Target="https://lcsc.com/product-detail/Multilayer-Ceramic-Capacitors-MLCC-SMD-SMT_100nF-104-10-25V_C105883.html" TargetMode="External"/><Relationship Id="rId5" Type="http://schemas.openxmlformats.org/officeDocument/2006/relationships/hyperlink" Target="https://lcsc.com/product-detail/Multilayer-Ceramic-Capacitors-MLCC-SMD-SMT_Walsin-Tech-Corp-0402N330K250CT_C387979.html" TargetMode="External"/><Relationship Id="rId61" Type="http://schemas.openxmlformats.org/officeDocument/2006/relationships/hyperlink" Target="https://lcsc.com/product-detail/Battery-Holders-Clips-Contacts_Q-J-CR1220-2_C70381.html" TargetMode="External"/><Relationship Id="rId19" Type="http://schemas.openxmlformats.org/officeDocument/2006/relationships/hyperlink" Target="https://lcsc.com/product-detail/MOSFET_Nexperia-BSS138PS-115_C193381.html" TargetMode="External"/><Relationship Id="rId14" Type="http://schemas.openxmlformats.org/officeDocument/2006/relationships/hyperlink" Target="https://lcsc.com/product-detail/Light-Emitting-Diodes-LED_TOGIALED-TJ-S1005SW4TGLC7K-A5_C273601.html" TargetMode="External"/><Relationship Id="rId22" Type="http://schemas.openxmlformats.org/officeDocument/2006/relationships/hyperlink" Target="https://lcsc.com/product-detail/Inductors-SMD_3L-COILS-SNR8040K-150M_C326353.html" TargetMode="External"/><Relationship Id="rId27" Type="http://schemas.openxmlformats.org/officeDocument/2006/relationships/hyperlink" Target="https://lcsc.com/product-detail/Chip-Resistor-Surface-Mount_RALEC-RTT02471JTH_C103058.html" TargetMode="External"/><Relationship Id="rId30" Type="http://schemas.openxmlformats.org/officeDocument/2006/relationships/hyperlink" Target="https://lcsc.com/product-detail/Chip-Resistor-Surface-Mount_YAGEO-AC0402FR-0730K9L_C226983.html" TargetMode="External"/><Relationship Id="rId35" Type="http://schemas.openxmlformats.org/officeDocument/2006/relationships/hyperlink" Target="https://lcsc.com/product-detail/Chip-Resistor-Surface-Mount_KAMAYA-RMC10-153JTH_C323744.html" TargetMode="External"/><Relationship Id="rId43" Type="http://schemas.openxmlformats.org/officeDocument/2006/relationships/hyperlink" Target="https://lcsc.com/product-detail/Chip-Resistor-Surface-Mount_1MR-1004-1_C138033.html" TargetMode="External"/><Relationship Id="rId48" Type="http://schemas.openxmlformats.org/officeDocument/2006/relationships/hyperlink" Target="https://lcsc.com/product-detail/Chip-Resistor-Surface-Mount_RALEC-RTT024022FTH_C103027.html" TargetMode="External"/><Relationship Id="rId56" Type="http://schemas.openxmlformats.org/officeDocument/2006/relationships/hyperlink" Target="https://lcsc.com/product-detail/DC-DC-Converters_Texas-Instruments_TPS5430QDDARQ1_Texas-Instruments-Texas-Instruments-TPS5430QDDARQ1_C388178.html" TargetMode="External"/><Relationship Id="rId64" Type="http://schemas.openxmlformats.org/officeDocument/2006/relationships/hyperlink" Target="https://lcsc.com/product-detail/Chip-Resistor-Surface-Mount_1KR-102-5_C105637.html" TargetMode="External"/><Relationship Id="rId69" Type="http://schemas.openxmlformats.org/officeDocument/2006/relationships/hyperlink" Target="https://lcsc.com/product-detail/Tantalum-Capacitors_Sunlord-TC211B475M035Y_C128334.html" TargetMode="External"/><Relationship Id="rId77" Type="http://schemas.openxmlformats.org/officeDocument/2006/relationships/printerSettings" Target="../printerSettings/printerSettings1.bin"/><Relationship Id="rId8" Type="http://schemas.openxmlformats.org/officeDocument/2006/relationships/hyperlink" Target="https://lcsc.com/product-detail/Tantalum-Capacitors_KEMET-T491X227M016AT_C117040.html" TargetMode="External"/><Relationship Id="rId51" Type="http://schemas.openxmlformats.org/officeDocument/2006/relationships/hyperlink" Target="https://lcsc.com/product-detail/Analog-Comparators_STMicroelectronics_LM393DT_LM393DT_C32901.html" TargetMode="External"/><Relationship Id="rId72" Type="http://schemas.openxmlformats.org/officeDocument/2006/relationships/hyperlink" Target="https://lcsc.com/product-detail/Chip-Resistor-Surface-Mount_UNI-ROYAL-Uniroyal-Elec-0402WGF1183TCE_C25748.html" TargetMode="External"/><Relationship Id="rId3" Type="http://schemas.openxmlformats.org/officeDocument/2006/relationships/hyperlink" Target="https://lcsc.com/product-detail/Multilayer-Ceramic-Capacitors-MLCC-SMD-SMT_YAGEO-CC0402KRX7R8BB103_C327025.html" TargetMode="External"/><Relationship Id="rId12" Type="http://schemas.openxmlformats.org/officeDocument/2006/relationships/hyperlink" Target="https://lcsc.com/product-detail/Schottky-Barrier-Diodes-SBD_DIODES_B340A-13-F_B340A-13-F_C85098.html" TargetMode="External"/><Relationship Id="rId17" Type="http://schemas.openxmlformats.org/officeDocument/2006/relationships/hyperlink" Target="https://lcsc.com/product-detail/MOSFET_Leshan-Radio-LBSS138LT1G_C8490.html" TargetMode="External"/><Relationship Id="rId25" Type="http://schemas.openxmlformats.org/officeDocument/2006/relationships/hyperlink" Target="https://lcsc.com/product-detail/Multilayer-Ceramic-Capacitors-MLCC-SMD-SMT_TAIYO-YUDEN_EMK107BBJ106MA-T_10uF-106-20-16V_C90058.html" TargetMode="External"/><Relationship Id="rId33" Type="http://schemas.openxmlformats.org/officeDocument/2006/relationships/hyperlink" Target="https://lcsc.com/product-detail/Chip-Resistor-Surface-Mount_LIZ-Elec-CR0402JF0472G_C100658.html" TargetMode="External"/><Relationship Id="rId38" Type="http://schemas.openxmlformats.org/officeDocument/2006/relationships/hyperlink" Target="https://lcsc.com/product-detail/Chip-Resistor-Surface-Mount_YAGEO-AC0402FR-0780K6L_C227238.html" TargetMode="External"/><Relationship Id="rId46" Type="http://schemas.openxmlformats.org/officeDocument/2006/relationships/hyperlink" Target="https://lcsc.com/product-detail/Chip-Resistor-Surface-Mount_YAGEO-RC0402FR-0760K4L_C327333.html" TargetMode="External"/><Relationship Id="rId59" Type="http://schemas.openxmlformats.org/officeDocument/2006/relationships/hyperlink" Target="https://lcsc.com/product-detail/USB-Connectors_Jing-Extension-of-the-Electronic-Co-C10418_C10418.html" TargetMode="External"/><Relationship Id="rId67" Type="http://schemas.openxmlformats.org/officeDocument/2006/relationships/hyperlink" Target="https://lcsc.com/product-detail/Real-time-Clocks_MICROCHIP_MCP7940N-I-SN_MCP7940N-I-SN_C51106.html" TargetMode="External"/><Relationship Id="rId20" Type="http://schemas.openxmlformats.org/officeDocument/2006/relationships/hyperlink" Target="https://lcsc.com/product-detail/Transistors-NPN-PNP_ON-Semiconductor-ON-NZT660_C274629.html" TargetMode="External"/><Relationship Id="rId41" Type="http://schemas.openxmlformats.org/officeDocument/2006/relationships/hyperlink" Target="https://lcsc.com/product-detail/Chip-Resistor-Surface-Mount_49-9KR-4992-1_C173335.html" TargetMode="External"/><Relationship Id="rId54" Type="http://schemas.openxmlformats.org/officeDocument/2006/relationships/hyperlink" Target="https://lcsc.com/product-detail/PMIC-Battery-Management_Texas-Instruments_BQ2057WSNTR_Texas-Instruments-Texas-Instruments-BQ2057WSNTR_C32756.html" TargetMode="External"/><Relationship Id="rId62" Type="http://schemas.openxmlformats.org/officeDocument/2006/relationships/hyperlink" Target="https://lcsc.com/product-detail/Pluggable-System-Terminal-Block_Ningbo-Kangnex-Elec-WJ301V-5-0-3P_C8483.html" TargetMode="External"/><Relationship Id="rId70" Type="http://schemas.openxmlformats.org/officeDocument/2006/relationships/hyperlink" Target="https://lcsc.com/product-detail/Multilayer-Ceramic-Capacitors-MLCC-SMD-SMT_10pF-100-5-50V_C106199.html" TargetMode="External"/><Relationship Id="rId75" Type="http://schemas.openxmlformats.org/officeDocument/2006/relationships/hyperlink" Target="https://lcsc.com/product-detail/TVS_Bourne-Semicon-Shenzhen-ESD9B3-3ST5G-N_C316039.html" TargetMode="External"/><Relationship Id="rId1" Type="http://schemas.openxmlformats.org/officeDocument/2006/relationships/hyperlink" Target="https://lcsc.com/product-detail/Multilayer-Ceramic-Capacitors-MLCC-SMD-SMT_muRata_GRM155R61E105KA12D_1uF-105-10-25V_C77009.html" TargetMode="External"/><Relationship Id="rId6" Type="http://schemas.openxmlformats.org/officeDocument/2006/relationships/hyperlink" Target="https://lcsc.com/product-detail/Multilayer-Ceramic-Capacitors-MLCC-SMD-SMT_Samsung-Electro-Mechanics-CL10A475KA8NQNC_C69335.html" TargetMode="External"/><Relationship Id="rId15" Type="http://schemas.openxmlformats.org/officeDocument/2006/relationships/hyperlink" Target="https://lcsc.com/product-detail/MOSFET_Diodes-Incorporated-DMP2045U-7_C459541.html" TargetMode="External"/><Relationship Id="rId23" Type="http://schemas.openxmlformats.org/officeDocument/2006/relationships/hyperlink" Target="https://lcsc.com/product-detail/Toggle-Switches_XKB-Enterprise-SS-12D11L5_C319010.html" TargetMode="External"/><Relationship Id="rId28" Type="http://schemas.openxmlformats.org/officeDocument/2006/relationships/hyperlink" Target="https://lcsc.com/product-detail/Chip-Resistor-Surface-Mount_PANASONIC-ERJPA2F1003X_C427253.html" TargetMode="External"/><Relationship Id="rId36" Type="http://schemas.openxmlformats.org/officeDocument/2006/relationships/hyperlink" Target="https://lcsc.com/product-detail/Chip-Resistor-Surface-Mount_YAGEO-AC0603FR-071M4L_C227673.html" TargetMode="External"/><Relationship Id="rId49" Type="http://schemas.openxmlformats.org/officeDocument/2006/relationships/hyperlink" Target="https://lcsc.com/product-detail/Linear-Voltage-Regulators_ON-Semiconductor-NCP3335ADM330R2G_C154793.html" TargetMode="External"/><Relationship Id="rId57" Type="http://schemas.openxmlformats.org/officeDocument/2006/relationships/hyperlink" Target="https://lcsc.com/product-detail/SMD-Crystal-Resonators_Nihon-Dempa-Kogyo-NX3215SA-32-768KHZ-STD-MUA-8_C156245.html" TargetMode="External"/><Relationship Id="rId10" Type="http://schemas.openxmlformats.org/officeDocument/2006/relationships/hyperlink" Target="https://lcsc.com/product-detail/Schottky-Barrier-Diodes-SBD_Nexperia-PMEG3010ER-115_C456106.html" TargetMode="External"/><Relationship Id="rId31" Type="http://schemas.openxmlformats.org/officeDocument/2006/relationships/hyperlink" Target="https://lcsc.com/product-detail/Chip-Resistor-Surface-Mount_20KR-203-5_C137902.html" TargetMode="External"/><Relationship Id="rId44" Type="http://schemas.openxmlformats.org/officeDocument/2006/relationships/hyperlink" Target="https://lcsc.com/product-detail/Others_YAGEO-RC0402FR-0713K3L_C274352.html" TargetMode="External"/><Relationship Id="rId52" Type="http://schemas.openxmlformats.org/officeDocument/2006/relationships/hyperlink" Target="https://lcsc.com/product-detail/Others_Axelite-Tech-AX5523CA_C157694.html" TargetMode="External"/><Relationship Id="rId60" Type="http://schemas.openxmlformats.org/officeDocument/2006/relationships/hyperlink" Target="https://lcsc.com/product-detail/Pin-Header-Female-Header_Amphenol-ICC-20021121-00010C4LF_C150517.html" TargetMode="External"/><Relationship Id="rId65" Type="http://schemas.openxmlformats.org/officeDocument/2006/relationships/hyperlink" Target="https://lcsc.com/product-detail/Pin-Header-Female-Header_PINREX-210-91-02GB01_C390678.html" TargetMode="External"/><Relationship Id="rId73" Type="http://schemas.openxmlformats.org/officeDocument/2006/relationships/hyperlink" Target="https://lcsc.com/product-detail/Multilayer-Ceramic-Capacitors-MLCC-SMD-SMT_SAMSUNG_CL05A225KO5NQNC_2-2uF-225-10-16V_C170151.html" TargetMode="External"/><Relationship Id="rId4" Type="http://schemas.openxmlformats.org/officeDocument/2006/relationships/hyperlink" Target="https://lcsc.com/product-detail/Multilayer-Ceramic-Capacitors-MLCC-SMD-SMT_Murata-Electronics-GJM0336C1E200JB01D_C161300.html" TargetMode="External"/><Relationship Id="rId9" Type="http://schemas.openxmlformats.org/officeDocument/2006/relationships/hyperlink" Target="https://lcsc.com/product-detail/Multilayer-Ceramic-Capacitors-MLCC-SMD-SMT_YAGEO-CC0402JRNPO9BN221_C107001.html" TargetMode="External"/><Relationship Id="rId13" Type="http://schemas.openxmlformats.org/officeDocument/2006/relationships/hyperlink" Target="https://lcsc.com/product-detail/Light-Emitting-Diodes-LED_TOGIALED-TJ-S1005SW4TGLC6B-A5_C273603.html" TargetMode="External"/><Relationship Id="rId18" Type="http://schemas.openxmlformats.org/officeDocument/2006/relationships/hyperlink" Target="https://lcsc.com/product-detail/MOSFET_Diodes-Incorporated_ZVN3310FTA_Diodes-Incorporated-ZVN3310FTA_C110533.html" TargetMode="External"/><Relationship Id="rId39" Type="http://schemas.openxmlformats.org/officeDocument/2006/relationships/hyperlink" Target="https://lcsc.com/product-detail/Chip-Resistor-Surface-Mount_10KR-103-5_C159873.html" TargetMode="External"/><Relationship Id="rId34" Type="http://schemas.openxmlformats.org/officeDocument/2006/relationships/hyperlink" Target="https://lcsc.com/product-detail/Chip-Resistor-Surface-Mount_YAGEO-RC0402FR-0747KL_C93943.html" TargetMode="External"/><Relationship Id="rId50" Type="http://schemas.openxmlformats.org/officeDocument/2006/relationships/hyperlink" Target="https://lcsc.com/product-detail/Voltage-References_Diodes-Incorporated-TLV431BFTA_C189220.html" TargetMode="External"/><Relationship Id="rId55" Type="http://schemas.openxmlformats.org/officeDocument/2006/relationships/hyperlink" Target="https://lcsc.com/product-detail/DC-DC-Converters_Texas-Instruments-Texas-Instruments-LMR62014XMFX-NOPB_C468235.html" TargetMode="External"/><Relationship Id="rId76" Type="http://schemas.openxmlformats.org/officeDocument/2006/relationships/hyperlink" Target="https://lcsc.com/product-detail/Others_Littelfuse_SP3014-02UTG_Littelfuse-SP3014-02UTG_C207282.html" TargetMode="External"/><Relationship Id="rId7" Type="http://schemas.openxmlformats.org/officeDocument/2006/relationships/hyperlink" Target="https://lcsc.com/product-detail/Multilayer-Ceramic-Capacitors-MLCC-SMD-SMT_Murata-Electronics-GRM21BR61E226ME44L_C86816.html" TargetMode="External"/><Relationship Id="rId71" Type="http://schemas.openxmlformats.org/officeDocument/2006/relationships/hyperlink" Target="https://lcsc.com/product-detail/Light-Emitting-Diodes-LED_Brightek-Optoelectronics-2SA0402S11A0JT01_C233194.html" TargetMode="External"/><Relationship Id="rId2" Type="http://schemas.openxmlformats.org/officeDocument/2006/relationships/hyperlink" Target="https://lcsc.com/product-detail/Multilayer-Ceramic-Capacitors-MLCC-SMD-SMT_YAGEO-CC0402KRX7R7BB104_C60474.html" TargetMode="External"/><Relationship Id="rId29" Type="http://schemas.openxmlformats.org/officeDocument/2006/relationships/hyperlink" Target="https://lcsc.com/product-detail/Chip-Resistor-Surface-Mount_2KR-2001-1_C60488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tabSelected="1" topLeftCell="B1" zoomScaleNormal="100" workbookViewId="0">
      <selection activeCell="E13" sqref="E13"/>
    </sheetView>
  </sheetViews>
  <sheetFormatPr defaultRowHeight="15" x14ac:dyDescent="0.25"/>
  <cols>
    <col min="1" max="1" width="7" customWidth="1"/>
    <col min="2" max="2" width="17.7109375" customWidth="1"/>
    <col min="3" max="3" width="41" style="21" customWidth="1"/>
    <col min="4" max="4" width="34.85546875" style="1" customWidth="1"/>
    <col min="5" max="5" width="21.5703125" style="4" customWidth="1"/>
    <col min="6" max="6" width="28.42578125" style="6" bestFit="1" customWidth="1"/>
    <col min="7" max="7" width="28.42578125" style="6" customWidth="1"/>
    <col min="8" max="8" width="21.5703125" style="6" customWidth="1"/>
    <col min="9" max="9" width="8.42578125" style="6" bestFit="1" customWidth="1"/>
    <col min="10" max="10" width="9.7109375" style="6" bestFit="1" customWidth="1"/>
    <col min="11" max="11" width="15.42578125" style="3" bestFit="1" customWidth="1"/>
    <col min="12" max="12" width="13.42578125" style="3" customWidth="1"/>
    <col min="13" max="13" width="8.42578125" customWidth="1"/>
    <col min="14" max="14" width="11.140625" style="1" customWidth="1"/>
    <col min="15" max="15" width="12" style="6" customWidth="1"/>
    <col min="16" max="16" width="38.28515625" bestFit="1" customWidth="1"/>
  </cols>
  <sheetData>
    <row r="1" spans="1:16" ht="16.5" thickBot="1" x14ac:dyDescent="0.3">
      <c r="A1" s="151" t="s">
        <v>62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3"/>
    </row>
    <row r="2" spans="1:16" ht="16.5" thickBot="1" x14ac:dyDescent="0.3">
      <c r="A2" s="5" t="s">
        <v>34</v>
      </c>
      <c r="B2" s="14" t="s">
        <v>35</v>
      </c>
      <c r="C2" s="20" t="s">
        <v>0</v>
      </c>
      <c r="D2" s="5" t="s">
        <v>1</v>
      </c>
      <c r="E2" s="14" t="s">
        <v>36</v>
      </c>
      <c r="F2" s="14" t="s">
        <v>3</v>
      </c>
      <c r="G2" s="14" t="s">
        <v>385</v>
      </c>
      <c r="H2" s="14" t="s">
        <v>2</v>
      </c>
      <c r="I2" s="14" t="s">
        <v>5</v>
      </c>
      <c r="J2" s="14" t="s">
        <v>4</v>
      </c>
      <c r="K2" s="14" t="s">
        <v>37</v>
      </c>
      <c r="L2" s="14" t="s">
        <v>60</v>
      </c>
      <c r="M2" s="15" t="s">
        <v>38</v>
      </c>
      <c r="N2" s="10" t="s">
        <v>53</v>
      </c>
      <c r="O2" s="10" t="s">
        <v>54</v>
      </c>
      <c r="P2" s="16" t="s">
        <v>39</v>
      </c>
    </row>
    <row r="3" spans="1:16" s="2" customFormat="1" ht="36" customHeight="1" thickBot="1" x14ac:dyDescent="0.3">
      <c r="A3" s="13">
        <v>1</v>
      </c>
      <c r="B3" s="147" t="s">
        <v>40</v>
      </c>
      <c r="C3" s="50" t="s">
        <v>63</v>
      </c>
      <c r="D3" s="95" t="s">
        <v>370</v>
      </c>
      <c r="E3" s="26" t="s">
        <v>107</v>
      </c>
      <c r="F3" s="26" t="s">
        <v>108</v>
      </c>
      <c r="G3" s="26" t="s">
        <v>386</v>
      </c>
      <c r="H3" s="26" t="s">
        <v>7</v>
      </c>
      <c r="I3" s="26" t="s">
        <v>6</v>
      </c>
      <c r="J3" s="54">
        <v>20</v>
      </c>
      <c r="K3" s="56">
        <f>J3*4</f>
        <v>80</v>
      </c>
      <c r="L3" s="27">
        <v>100</v>
      </c>
      <c r="M3" s="28" t="s">
        <v>61</v>
      </c>
      <c r="N3" s="61">
        <v>2.4109999999999999E-3</v>
      </c>
      <c r="O3" s="58">
        <f t="shared" ref="O3:O7" si="0">L3*N3</f>
        <v>0.24109999999999998</v>
      </c>
      <c r="P3" s="29"/>
    </row>
    <row r="4" spans="1:16" s="2" customFormat="1" ht="16.5" thickBot="1" x14ac:dyDescent="0.3">
      <c r="A4" s="12">
        <v>2</v>
      </c>
      <c r="B4" s="148"/>
      <c r="C4" s="51" t="s">
        <v>64</v>
      </c>
      <c r="D4" s="23" t="s">
        <v>75</v>
      </c>
      <c r="E4" s="8" t="s">
        <v>107</v>
      </c>
      <c r="F4" s="8" t="s">
        <v>109</v>
      </c>
      <c r="G4" s="8" t="s">
        <v>387</v>
      </c>
      <c r="H4" s="8" t="s">
        <v>110</v>
      </c>
      <c r="I4" s="8" t="s">
        <v>8</v>
      </c>
      <c r="J4" s="8">
        <v>2</v>
      </c>
      <c r="K4" s="7">
        <f t="shared" ref="K4:K70" si="1">J4*4</f>
        <v>8</v>
      </c>
      <c r="L4" s="7">
        <v>50</v>
      </c>
      <c r="M4" s="11" t="s">
        <v>61</v>
      </c>
      <c r="N4" s="62">
        <v>6.999E-3</v>
      </c>
      <c r="O4" s="59">
        <f t="shared" si="0"/>
        <v>0.34994999999999998</v>
      </c>
      <c r="P4" s="30"/>
    </row>
    <row r="5" spans="1:16" s="2" customFormat="1" ht="16.5" thickBot="1" x14ac:dyDescent="0.3">
      <c r="A5" s="12">
        <v>3</v>
      </c>
      <c r="B5" s="148"/>
      <c r="C5" s="51" t="s">
        <v>65</v>
      </c>
      <c r="D5" s="23" t="s">
        <v>76</v>
      </c>
      <c r="E5" s="8" t="s">
        <v>107</v>
      </c>
      <c r="F5" s="8" t="s">
        <v>111</v>
      </c>
      <c r="G5" s="8" t="s">
        <v>388</v>
      </c>
      <c r="H5" s="8" t="s">
        <v>7</v>
      </c>
      <c r="I5" s="8" t="s">
        <v>9</v>
      </c>
      <c r="J5" s="8">
        <v>4</v>
      </c>
      <c r="K5" s="7">
        <f t="shared" si="1"/>
        <v>16</v>
      </c>
      <c r="L5" s="7">
        <v>100</v>
      </c>
      <c r="M5" s="11" t="s">
        <v>61</v>
      </c>
      <c r="N5" s="62">
        <v>2.16E-3</v>
      </c>
      <c r="O5" s="59">
        <f t="shared" si="0"/>
        <v>0.216</v>
      </c>
      <c r="P5" s="30"/>
    </row>
    <row r="6" spans="1:16" s="2" customFormat="1" ht="16.5" thickBot="1" x14ac:dyDescent="0.3">
      <c r="A6" s="12">
        <v>4</v>
      </c>
      <c r="B6" s="148"/>
      <c r="C6" s="51" t="s">
        <v>289</v>
      </c>
      <c r="D6" s="23" t="s">
        <v>364</v>
      </c>
      <c r="E6" s="8" t="s">
        <v>43</v>
      </c>
      <c r="F6" s="8" t="s">
        <v>290</v>
      </c>
      <c r="G6" s="8" t="s">
        <v>389</v>
      </c>
      <c r="H6" s="8" t="s">
        <v>291</v>
      </c>
      <c r="I6" s="8" t="s">
        <v>10</v>
      </c>
      <c r="J6" s="8">
        <v>1</v>
      </c>
      <c r="K6" s="7">
        <f t="shared" si="1"/>
        <v>4</v>
      </c>
      <c r="L6" s="7">
        <v>10</v>
      </c>
      <c r="M6" s="11" t="s">
        <v>61</v>
      </c>
      <c r="N6" s="62">
        <v>4.9925999999999998E-2</v>
      </c>
      <c r="O6" s="59">
        <f t="shared" si="0"/>
        <v>0.49925999999999998</v>
      </c>
      <c r="P6" s="30"/>
    </row>
    <row r="7" spans="1:16" s="2" customFormat="1" ht="16.5" thickBot="1" x14ac:dyDescent="0.3">
      <c r="A7" s="13">
        <v>5</v>
      </c>
      <c r="B7" s="148"/>
      <c r="C7" s="51" t="s">
        <v>66</v>
      </c>
      <c r="D7" s="23" t="s">
        <v>329</v>
      </c>
      <c r="E7" s="8" t="s">
        <v>112</v>
      </c>
      <c r="F7" s="8" t="s">
        <v>113</v>
      </c>
      <c r="G7" s="8" t="s">
        <v>390</v>
      </c>
      <c r="H7" s="8" t="s">
        <v>110</v>
      </c>
      <c r="I7" s="8" t="s">
        <v>206</v>
      </c>
      <c r="J7" s="8">
        <v>4</v>
      </c>
      <c r="K7" s="7">
        <f t="shared" si="1"/>
        <v>16</v>
      </c>
      <c r="L7" s="7">
        <v>20</v>
      </c>
      <c r="M7" s="11" t="s">
        <v>61</v>
      </c>
      <c r="N7" s="62">
        <v>1.3273E-2</v>
      </c>
      <c r="O7" s="59">
        <f t="shared" si="0"/>
        <v>0.26546000000000003</v>
      </c>
      <c r="P7" s="30"/>
    </row>
    <row r="8" spans="1:16" s="2" customFormat="1" ht="16.5" thickBot="1" x14ac:dyDescent="0.3">
      <c r="A8" s="116">
        <v>6</v>
      </c>
      <c r="B8" s="148"/>
      <c r="C8" s="51" t="s">
        <v>292</v>
      </c>
      <c r="D8" s="23" t="s">
        <v>77</v>
      </c>
      <c r="E8" s="8" t="s">
        <v>293</v>
      </c>
      <c r="F8" s="8" t="s">
        <v>294</v>
      </c>
      <c r="G8" s="8" t="s">
        <v>391</v>
      </c>
      <c r="H8" s="8" t="s">
        <v>48</v>
      </c>
      <c r="I8" s="8" t="s">
        <v>207</v>
      </c>
      <c r="J8" s="8">
        <v>2</v>
      </c>
      <c r="K8" s="7">
        <f t="shared" si="1"/>
        <v>8</v>
      </c>
      <c r="L8" s="7">
        <v>10</v>
      </c>
      <c r="M8" s="11" t="s">
        <v>61</v>
      </c>
      <c r="N8" s="62">
        <v>0.46454499999999999</v>
      </c>
      <c r="O8" s="59">
        <f>L8*N8</f>
        <v>4.6454500000000003</v>
      </c>
      <c r="P8" s="30"/>
    </row>
    <row r="9" spans="1:16" s="2" customFormat="1" ht="16.5" thickBot="1" x14ac:dyDescent="0.3">
      <c r="A9" s="116">
        <v>7</v>
      </c>
      <c r="B9" s="148"/>
      <c r="C9" s="98" t="s">
        <v>352</v>
      </c>
      <c r="D9" s="99" t="s">
        <v>78</v>
      </c>
      <c r="E9" s="100" t="s">
        <v>107</v>
      </c>
      <c r="F9" s="100" t="s">
        <v>353</v>
      </c>
      <c r="G9" s="100" t="s">
        <v>392</v>
      </c>
      <c r="H9" s="100" t="s">
        <v>7</v>
      </c>
      <c r="I9" s="100" t="s">
        <v>208</v>
      </c>
      <c r="J9" s="100">
        <v>2</v>
      </c>
      <c r="K9" s="7">
        <f t="shared" si="1"/>
        <v>8</v>
      </c>
      <c r="L9" s="7">
        <v>100</v>
      </c>
      <c r="M9" s="11" t="s">
        <v>61</v>
      </c>
      <c r="N9" s="101">
        <v>2.238E-3</v>
      </c>
      <c r="O9" s="102">
        <f t="shared" ref="O9:O63" si="2">L9*N9</f>
        <v>0.2238</v>
      </c>
      <c r="P9" s="103"/>
    </row>
    <row r="10" spans="1:16" s="2" customFormat="1" ht="26.25" thickBot="1" x14ac:dyDescent="0.3">
      <c r="A10" s="116">
        <v>8</v>
      </c>
      <c r="B10" s="148"/>
      <c r="C10" s="47" t="s">
        <v>67</v>
      </c>
      <c r="D10" s="23" t="s">
        <v>79</v>
      </c>
      <c r="E10" s="8" t="s">
        <v>107</v>
      </c>
      <c r="F10" s="8" t="s">
        <v>115</v>
      </c>
      <c r="G10" s="8" t="s">
        <v>393</v>
      </c>
      <c r="H10" s="8" t="s">
        <v>114</v>
      </c>
      <c r="I10" s="8" t="s">
        <v>209</v>
      </c>
      <c r="J10" s="8">
        <v>5</v>
      </c>
      <c r="K10" s="7">
        <f t="shared" si="1"/>
        <v>20</v>
      </c>
      <c r="L10" s="7">
        <v>100</v>
      </c>
      <c r="M10" s="11" t="s">
        <v>61</v>
      </c>
      <c r="N10" s="62">
        <v>2.5240000000000002E-3</v>
      </c>
      <c r="O10" s="59">
        <f>L10*N10</f>
        <v>0.25240000000000001</v>
      </c>
      <c r="P10" s="30"/>
    </row>
    <row r="11" spans="1:16" s="2" customFormat="1" ht="16.5" thickBot="1" x14ac:dyDescent="0.3">
      <c r="A11" s="13">
        <v>9</v>
      </c>
      <c r="B11" s="148"/>
      <c r="C11" s="51" t="s">
        <v>68</v>
      </c>
      <c r="D11" s="23" t="s">
        <v>80</v>
      </c>
      <c r="E11" s="8" t="s">
        <v>43</v>
      </c>
      <c r="F11" s="8" t="s">
        <v>116</v>
      </c>
      <c r="G11" s="8" t="s">
        <v>394</v>
      </c>
      <c r="H11" s="8" t="s">
        <v>117</v>
      </c>
      <c r="I11" s="8" t="s">
        <v>210</v>
      </c>
      <c r="J11" s="8">
        <v>1</v>
      </c>
      <c r="K11" s="7">
        <f t="shared" si="1"/>
        <v>4</v>
      </c>
      <c r="L11" s="7">
        <v>20</v>
      </c>
      <c r="M11" s="11" t="s">
        <v>61</v>
      </c>
      <c r="N11" s="62">
        <v>2.6991999999999999E-2</v>
      </c>
      <c r="O11" s="59">
        <f t="shared" si="2"/>
        <v>0.53983999999999999</v>
      </c>
      <c r="P11" s="30"/>
    </row>
    <row r="12" spans="1:16" s="2" customFormat="1" ht="16.5" thickBot="1" x14ac:dyDescent="0.3">
      <c r="A12" s="116">
        <v>10</v>
      </c>
      <c r="B12" s="148"/>
      <c r="C12" s="51" t="s">
        <v>69</v>
      </c>
      <c r="D12" s="23" t="s">
        <v>339</v>
      </c>
      <c r="E12" s="8" t="s">
        <v>118</v>
      </c>
      <c r="F12" s="8" t="s">
        <v>119</v>
      </c>
      <c r="G12" s="8" t="s">
        <v>395</v>
      </c>
      <c r="H12" s="8" t="s">
        <v>110</v>
      </c>
      <c r="I12" s="8" t="s">
        <v>211</v>
      </c>
      <c r="J12" s="8">
        <v>5</v>
      </c>
      <c r="K12" s="7">
        <f t="shared" si="1"/>
        <v>20</v>
      </c>
      <c r="L12" s="7">
        <v>25</v>
      </c>
      <c r="M12" s="11" t="s">
        <v>61</v>
      </c>
      <c r="N12" s="62">
        <v>9.4752000000000003E-2</v>
      </c>
      <c r="O12" s="59">
        <f>N12*L12</f>
        <v>2.3688000000000002</v>
      </c>
      <c r="P12" s="30"/>
    </row>
    <row r="13" spans="1:16" s="2" customFormat="1" ht="16.5" thickBot="1" x14ac:dyDescent="0.3">
      <c r="A13" s="116">
        <v>11</v>
      </c>
      <c r="B13" s="148"/>
      <c r="C13" s="104" t="s">
        <v>354</v>
      </c>
      <c r="D13" s="99" t="s">
        <v>340</v>
      </c>
      <c r="E13" s="100" t="s">
        <v>295</v>
      </c>
      <c r="F13" s="100" t="s">
        <v>355</v>
      </c>
      <c r="G13" s="100" t="s">
        <v>396</v>
      </c>
      <c r="H13" s="100" t="s">
        <v>356</v>
      </c>
      <c r="I13" s="100" t="s">
        <v>210</v>
      </c>
      <c r="J13" s="100">
        <v>2</v>
      </c>
      <c r="K13" s="7">
        <f t="shared" si="1"/>
        <v>8</v>
      </c>
      <c r="L13" s="7">
        <v>10</v>
      </c>
      <c r="M13" s="11" t="s">
        <v>61</v>
      </c>
      <c r="N13" s="101">
        <v>0.13320699999999999</v>
      </c>
      <c r="O13" s="102">
        <f>N13*L13</f>
        <v>1.3320699999999999</v>
      </c>
      <c r="P13" s="103"/>
    </row>
    <row r="14" spans="1:16" s="2" customFormat="1" ht="16.5" thickBot="1" x14ac:dyDescent="0.3">
      <c r="A14" s="116">
        <v>12</v>
      </c>
      <c r="B14" s="148"/>
      <c r="C14" s="51" t="s">
        <v>70</v>
      </c>
      <c r="D14" s="23" t="s">
        <v>81</v>
      </c>
      <c r="E14" s="8" t="s">
        <v>120</v>
      </c>
      <c r="F14" s="8" t="s">
        <v>121</v>
      </c>
      <c r="G14" s="8" t="s">
        <v>397</v>
      </c>
      <c r="H14" s="8" t="s">
        <v>42</v>
      </c>
      <c r="I14" s="8" t="s">
        <v>212</v>
      </c>
      <c r="J14" s="8">
        <v>1</v>
      </c>
      <c r="K14" s="7">
        <f t="shared" si="1"/>
        <v>4</v>
      </c>
      <c r="L14" s="7">
        <v>5</v>
      </c>
      <c r="M14" s="11" t="s">
        <v>61</v>
      </c>
      <c r="N14" s="62">
        <v>1.339545</v>
      </c>
      <c r="O14" s="59">
        <f>N14*L14</f>
        <v>6.6977250000000002</v>
      </c>
      <c r="P14" s="30"/>
    </row>
    <row r="15" spans="1:16" s="2" customFormat="1" ht="16.5" thickBot="1" x14ac:dyDescent="0.3">
      <c r="A15" s="13">
        <v>13</v>
      </c>
      <c r="B15" s="148"/>
      <c r="C15" s="51" t="s">
        <v>365</v>
      </c>
      <c r="D15" s="23" t="s">
        <v>366</v>
      </c>
      <c r="E15" s="8" t="s">
        <v>107</v>
      </c>
      <c r="F15" s="8" t="s">
        <v>367</v>
      </c>
      <c r="G15" s="8" t="s">
        <v>398</v>
      </c>
      <c r="H15" s="8" t="s">
        <v>117</v>
      </c>
      <c r="I15" s="8" t="s">
        <v>368</v>
      </c>
      <c r="J15" s="8">
        <v>1</v>
      </c>
      <c r="K15" s="7">
        <f t="shared" si="1"/>
        <v>4</v>
      </c>
      <c r="L15" s="7">
        <v>50</v>
      </c>
      <c r="M15" s="11" t="s">
        <v>61</v>
      </c>
      <c r="N15" s="62">
        <v>1.1551000000000001E-2</v>
      </c>
      <c r="O15" s="59">
        <f>N15*L15</f>
        <v>0.57755000000000001</v>
      </c>
      <c r="P15" s="30"/>
    </row>
    <row r="16" spans="1:16" s="2" customFormat="1" ht="16.5" thickBot="1" x14ac:dyDescent="0.3">
      <c r="A16" s="116">
        <v>14</v>
      </c>
      <c r="B16" s="148"/>
      <c r="C16" s="51" t="s">
        <v>369</v>
      </c>
      <c r="D16" s="23" t="s">
        <v>371</v>
      </c>
      <c r="E16" s="8" t="s">
        <v>107</v>
      </c>
      <c r="F16" s="8" t="s">
        <v>372</v>
      </c>
      <c r="G16" s="8" t="s">
        <v>399</v>
      </c>
      <c r="H16" s="8" t="s">
        <v>7</v>
      </c>
      <c r="I16" s="8" t="s">
        <v>373</v>
      </c>
      <c r="J16" s="8">
        <v>1</v>
      </c>
      <c r="K16" s="7">
        <f t="shared" si="1"/>
        <v>4</v>
      </c>
      <c r="L16" s="7">
        <v>50</v>
      </c>
      <c r="M16" s="11" t="s">
        <v>61</v>
      </c>
      <c r="N16" s="62">
        <v>3.7889999999999998E-3</v>
      </c>
      <c r="O16" s="59">
        <f>N16*L16</f>
        <v>0.18944999999999998</v>
      </c>
      <c r="P16" s="30"/>
    </row>
    <row r="17" spans="1:16" s="2" customFormat="1" ht="16.5" thickBot="1" x14ac:dyDescent="0.3">
      <c r="A17" s="116">
        <v>15</v>
      </c>
      <c r="B17" s="148"/>
      <c r="C17" s="51" t="s">
        <v>71</v>
      </c>
      <c r="D17" s="23" t="s">
        <v>82</v>
      </c>
      <c r="E17" s="8" t="s">
        <v>107</v>
      </c>
      <c r="F17" s="8" t="s">
        <v>122</v>
      </c>
      <c r="G17" s="8" t="s">
        <v>400</v>
      </c>
      <c r="H17" s="8" t="s">
        <v>7</v>
      </c>
      <c r="I17" s="8" t="s">
        <v>213</v>
      </c>
      <c r="J17" s="8">
        <v>1</v>
      </c>
      <c r="K17" s="7">
        <f t="shared" si="1"/>
        <v>4</v>
      </c>
      <c r="L17" s="7">
        <v>50</v>
      </c>
      <c r="M17" s="9" t="s">
        <v>61</v>
      </c>
      <c r="N17" s="62">
        <v>4.5230000000000001E-3</v>
      </c>
      <c r="O17" s="59">
        <f t="shared" si="2"/>
        <v>0.22615000000000002</v>
      </c>
      <c r="P17" s="30"/>
    </row>
    <row r="18" spans="1:16" s="2" customFormat="1" ht="16.5" thickBot="1" x14ac:dyDescent="0.3">
      <c r="A18" s="116">
        <v>16</v>
      </c>
      <c r="B18" s="147" t="s">
        <v>230</v>
      </c>
      <c r="C18" s="50" t="s">
        <v>72</v>
      </c>
      <c r="D18" s="36" t="s">
        <v>341</v>
      </c>
      <c r="E18" s="26" t="s">
        <v>123</v>
      </c>
      <c r="F18" s="26" t="s">
        <v>124</v>
      </c>
      <c r="G18" s="26" t="s">
        <v>401</v>
      </c>
      <c r="H18" s="26" t="s">
        <v>125</v>
      </c>
      <c r="I18" s="26" t="s">
        <v>316</v>
      </c>
      <c r="J18" s="26">
        <v>3</v>
      </c>
      <c r="K18" s="56">
        <f t="shared" si="1"/>
        <v>12</v>
      </c>
      <c r="L18" s="27">
        <v>13</v>
      </c>
      <c r="M18" s="28" t="s">
        <v>61</v>
      </c>
      <c r="N18" s="61">
        <v>0.11301799999999999</v>
      </c>
      <c r="O18" s="58">
        <f>L18*N18</f>
        <v>1.4692339999999999</v>
      </c>
      <c r="P18" s="29"/>
    </row>
    <row r="19" spans="1:16" s="2" customFormat="1" ht="16.5" thickBot="1" x14ac:dyDescent="0.3">
      <c r="A19" s="13">
        <v>17</v>
      </c>
      <c r="B19" s="148"/>
      <c r="C19" s="51" t="s">
        <v>73</v>
      </c>
      <c r="D19" s="23" t="s">
        <v>83</v>
      </c>
      <c r="E19" s="8" t="s">
        <v>309</v>
      </c>
      <c r="F19" s="8" t="s">
        <v>126</v>
      </c>
      <c r="G19" s="8" t="s">
        <v>402</v>
      </c>
      <c r="H19" s="8" t="s">
        <v>127</v>
      </c>
      <c r="I19" s="8" t="s">
        <v>316</v>
      </c>
      <c r="J19" s="8">
        <v>1</v>
      </c>
      <c r="K19" s="7">
        <f t="shared" si="1"/>
        <v>4</v>
      </c>
      <c r="L19" s="7">
        <v>10</v>
      </c>
      <c r="M19" s="9" t="s">
        <v>61</v>
      </c>
      <c r="N19" s="62">
        <v>6.1782999999999998E-2</v>
      </c>
      <c r="O19" s="65">
        <f t="shared" si="2"/>
        <v>0.61782999999999999</v>
      </c>
      <c r="P19" s="30"/>
    </row>
    <row r="20" spans="1:16" s="2" customFormat="1" ht="16.5" thickBot="1" x14ac:dyDescent="0.3">
      <c r="A20" s="116">
        <v>18</v>
      </c>
      <c r="B20" s="148"/>
      <c r="C20" s="117" t="s">
        <v>374</v>
      </c>
      <c r="D20" s="118" t="s">
        <v>375</v>
      </c>
      <c r="E20" s="119" t="s">
        <v>309</v>
      </c>
      <c r="F20" s="119" t="s">
        <v>376</v>
      </c>
      <c r="G20" s="119" t="s">
        <v>403</v>
      </c>
      <c r="H20" s="119" t="s">
        <v>377</v>
      </c>
      <c r="I20" s="8" t="s">
        <v>316</v>
      </c>
      <c r="J20" s="119">
        <v>1</v>
      </c>
      <c r="K20" s="7">
        <f>J20*4</f>
        <v>4</v>
      </c>
      <c r="L20" s="120">
        <v>20</v>
      </c>
      <c r="M20" s="121" t="s">
        <v>61</v>
      </c>
      <c r="N20" s="122">
        <v>1.8391000000000001E-2</v>
      </c>
      <c r="O20" s="65">
        <f t="shared" si="2"/>
        <v>0.36782000000000004</v>
      </c>
      <c r="P20" s="123"/>
    </row>
    <row r="21" spans="1:16" s="2" customFormat="1" ht="16.5" thickBot="1" x14ac:dyDescent="0.3">
      <c r="A21" s="116">
        <v>19</v>
      </c>
      <c r="B21" s="149"/>
      <c r="C21" s="52" t="s">
        <v>74</v>
      </c>
      <c r="D21" s="31" t="s">
        <v>84</v>
      </c>
      <c r="E21" s="32" t="s">
        <v>309</v>
      </c>
      <c r="F21" s="32" t="s">
        <v>128</v>
      </c>
      <c r="G21" s="32" t="s">
        <v>404</v>
      </c>
      <c r="H21" s="32" t="s">
        <v>129</v>
      </c>
      <c r="I21" s="32" t="s">
        <v>316</v>
      </c>
      <c r="J21" s="32">
        <v>1</v>
      </c>
      <c r="K21" s="57">
        <f t="shared" si="1"/>
        <v>4</v>
      </c>
      <c r="L21" s="33">
        <v>5</v>
      </c>
      <c r="M21" s="37" t="s">
        <v>61</v>
      </c>
      <c r="N21" s="63">
        <v>6.9270999999999999E-2</v>
      </c>
      <c r="O21" s="60">
        <f t="shared" si="2"/>
        <v>0.34635499999999997</v>
      </c>
      <c r="P21" s="35"/>
    </row>
    <row r="22" spans="1:16" s="2" customFormat="1" ht="16.5" thickBot="1" x14ac:dyDescent="0.3">
      <c r="A22" s="116">
        <v>20</v>
      </c>
      <c r="B22" s="147" t="s">
        <v>41</v>
      </c>
      <c r="C22" s="105" t="s">
        <v>357</v>
      </c>
      <c r="D22" s="106" t="s">
        <v>87</v>
      </c>
      <c r="E22" s="90" t="s">
        <v>130</v>
      </c>
      <c r="F22" s="90" t="s">
        <v>358</v>
      </c>
      <c r="G22" s="90" t="s">
        <v>405</v>
      </c>
      <c r="H22" s="90" t="s">
        <v>359</v>
      </c>
      <c r="I22" s="90" t="s">
        <v>316</v>
      </c>
      <c r="J22" s="90">
        <v>2</v>
      </c>
      <c r="K22" s="56">
        <f t="shared" si="1"/>
        <v>8</v>
      </c>
      <c r="L22" s="27">
        <v>10</v>
      </c>
      <c r="M22" s="28" t="s">
        <v>61</v>
      </c>
      <c r="N22" s="92">
        <v>4.4172999999999997E-2</v>
      </c>
      <c r="O22" s="93">
        <f t="shared" si="2"/>
        <v>0.44172999999999996</v>
      </c>
      <c r="P22" s="103"/>
    </row>
    <row r="23" spans="1:16" s="2" customFormat="1" ht="16.5" thickBot="1" x14ac:dyDescent="0.3">
      <c r="A23" s="13">
        <v>21</v>
      </c>
      <c r="B23" s="148"/>
      <c r="C23" s="51" t="s">
        <v>85</v>
      </c>
      <c r="D23" s="23" t="s">
        <v>88</v>
      </c>
      <c r="E23" s="8" t="s">
        <v>130</v>
      </c>
      <c r="F23" s="8" t="s">
        <v>132</v>
      </c>
      <c r="G23" s="8" t="s">
        <v>406</v>
      </c>
      <c r="H23" s="8" t="s">
        <v>131</v>
      </c>
      <c r="I23" s="8" t="s">
        <v>316</v>
      </c>
      <c r="J23" s="8">
        <v>1</v>
      </c>
      <c r="K23" s="7">
        <f t="shared" si="1"/>
        <v>4</v>
      </c>
      <c r="L23" s="7">
        <v>10</v>
      </c>
      <c r="M23" s="11" t="s">
        <v>61</v>
      </c>
      <c r="N23" s="62">
        <v>3.9662999999999997E-2</v>
      </c>
      <c r="O23" s="59">
        <f t="shared" si="2"/>
        <v>0.39662999999999998</v>
      </c>
      <c r="P23" s="30"/>
    </row>
    <row r="24" spans="1:16" s="2" customFormat="1" ht="16.5" thickBot="1" x14ac:dyDescent="0.3">
      <c r="A24" s="116">
        <v>22</v>
      </c>
      <c r="B24" s="149"/>
      <c r="C24" s="52" t="s">
        <v>86</v>
      </c>
      <c r="D24" s="31" t="s">
        <v>89</v>
      </c>
      <c r="E24" s="32" t="s">
        <v>130</v>
      </c>
      <c r="F24" s="32" t="s">
        <v>133</v>
      </c>
      <c r="G24" s="32" t="s">
        <v>407</v>
      </c>
      <c r="H24" s="32" t="s">
        <v>131</v>
      </c>
      <c r="I24" s="32" t="s">
        <v>316</v>
      </c>
      <c r="J24" s="32">
        <v>2</v>
      </c>
      <c r="K24" s="57">
        <f t="shared" si="1"/>
        <v>8</v>
      </c>
      <c r="L24" s="33">
        <v>10</v>
      </c>
      <c r="M24" s="34" t="s">
        <v>61</v>
      </c>
      <c r="N24" s="63">
        <v>4.018E-2</v>
      </c>
      <c r="O24" s="60">
        <f t="shared" si="2"/>
        <v>0.40179999999999999</v>
      </c>
      <c r="P24" s="35"/>
    </row>
    <row r="25" spans="1:16" s="2" customFormat="1" ht="16.5" thickBot="1" x14ac:dyDescent="0.3">
      <c r="A25" s="116">
        <v>23</v>
      </c>
      <c r="B25" s="147" t="s">
        <v>58</v>
      </c>
      <c r="C25" s="50" t="s">
        <v>96</v>
      </c>
      <c r="D25" s="36" t="s">
        <v>90</v>
      </c>
      <c r="E25" s="26" t="s">
        <v>59</v>
      </c>
      <c r="F25" s="26" t="s">
        <v>134</v>
      </c>
      <c r="G25" s="26" t="s">
        <v>408</v>
      </c>
      <c r="H25" s="26" t="s">
        <v>129</v>
      </c>
      <c r="I25" s="26" t="s">
        <v>316</v>
      </c>
      <c r="J25" s="26">
        <v>1</v>
      </c>
      <c r="K25" s="56">
        <f t="shared" si="1"/>
        <v>4</v>
      </c>
      <c r="L25" s="27">
        <v>5</v>
      </c>
      <c r="M25" s="28" t="s">
        <v>61</v>
      </c>
      <c r="N25" s="61">
        <v>0.11029700000000001</v>
      </c>
      <c r="O25" s="58">
        <f>L25*N25</f>
        <v>0.551485</v>
      </c>
      <c r="P25" s="29"/>
    </row>
    <row r="26" spans="1:16" s="2" customFormat="1" ht="16.5" thickBot="1" x14ac:dyDescent="0.3">
      <c r="A26" s="116">
        <v>24</v>
      </c>
      <c r="B26" s="148"/>
      <c r="C26" s="51" t="s">
        <v>97</v>
      </c>
      <c r="D26" s="23" t="s">
        <v>91</v>
      </c>
      <c r="E26" s="8" t="s">
        <v>59</v>
      </c>
      <c r="F26" s="8" t="s">
        <v>135</v>
      </c>
      <c r="G26" s="8" t="s">
        <v>409</v>
      </c>
      <c r="H26" s="8" t="s">
        <v>125</v>
      </c>
      <c r="I26" s="8" t="s">
        <v>316</v>
      </c>
      <c r="J26" s="8">
        <v>1</v>
      </c>
      <c r="K26" s="7">
        <f t="shared" si="1"/>
        <v>4</v>
      </c>
      <c r="L26" s="7">
        <v>10</v>
      </c>
      <c r="M26" s="11" t="s">
        <v>61</v>
      </c>
      <c r="N26" s="62">
        <v>5.2546000000000002E-2</v>
      </c>
      <c r="O26" s="59">
        <f>L26*N26</f>
        <v>0.52546000000000004</v>
      </c>
      <c r="P26" s="30"/>
    </row>
    <row r="27" spans="1:16" s="2" customFormat="1" ht="16.5" thickBot="1" x14ac:dyDescent="0.3">
      <c r="A27" s="13">
        <v>25</v>
      </c>
      <c r="B27" s="148"/>
      <c r="C27" s="51" t="s">
        <v>98</v>
      </c>
      <c r="D27" s="23" t="s">
        <v>92</v>
      </c>
      <c r="E27" s="8" t="s">
        <v>59</v>
      </c>
      <c r="F27" s="8" t="s">
        <v>136</v>
      </c>
      <c r="G27" s="8" t="s">
        <v>410</v>
      </c>
      <c r="H27" s="8" t="s">
        <v>18</v>
      </c>
      <c r="I27" s="8" t="s">
        <v>316</v>
      </c>
      <c r="J27" s="8">
        <v>6</v>
      </c>
      <c r="K27" s="7">
        <f t="shared" si="1"/>
        <v>24</v>
      </c>
      <c r="L27" s="7">
        <v>40</v>
      </c>
      <c r="M27" s="11" t="s">
        <v>61</v>
      </c>
      <c r="N27" s="62">
        <v>1.8379E-2</v>
      </c>
      <c r="O27" s="59">
        <f t="shared" ref="O27:O34" si="3">N27*L27</f>
        <v>0.73516000000000004</v>
      </c>
      <c r="P27" s="30"/>
    </row>
    <row r="28" spans="1:16" s="2" customFormat="1" ht="16.5" thickBot="1" x14ac:dyDescent="0.3">
      <c r="A28" s="116">
        <v>26</v>
      </c>
      <c r="B28" s="148"/>
      <c r="C28" s="104" t="s">
        <v>322</v>
      </c>
      <c r="D28" s="99" t="s">
        <v>93</v>
      </c>
      <c r="E28" s="100" t="s">
        <v>59</v>
      </c>
      <c r="F28" s="100" t="s">
        <v>321</v>
      </c>
      <c r="G28" s="100" t="s">
        <v>411</v>
      </c>
      <c r="H28" s="100" t="s">
        <v>129</v>
      </c>
      <c r="I28" s="100" t="s">
        <v>316</v>
      </c>
      <c r="J28" s="100">
        <v>1</v>
      </c>
      <c r="K28" s="7">
        <f t="shared" si="1"/>
        <v>4</v>
      </c>
      <c r="L28" s="7">
        <v>5</v>
      </c>
      <c r="M28" s="11" t="s">
        <v>61</v>
      </c>
      <c r="N28" s="101">
        <v>0.11011899999999999</v>
      </c>
      <c r="O28" s="102">
        <f t="shared" si="3"/>
        <v>0.55059499999999995</v>
      </c>
      <c r="P28" s="103"/>
    </row>
    <row r="29" spans="1:16" s="2" customFormat="1" ht="16.5" thickBot="1" x14ac:dyDescent="0.3">
      <c r="A29" s="116">
        <v>27</v>
      </c>
      <c r="B29" s="148"/>
      <c r="C29" s="51" t="s">
        <v>99</v>
      </c>
      <c r="D29" s="23" t="s">
        <v>94</v>
      </c>
      <c r="E29" s="8" t="s">
        <v>311</v>
      </c>
      <c r="F29" s="8" t="s">
        <v>137</v>
      </c>
      <c r="G29" s="8" t="s">
        <v>412</v>
      </c>
      <c r="H29" s="8" t="s">
        <v>125</v>
      </c>
      <c r="I29" s="8" t="s">
        <v>316</v>
      </c>
      <c r="J29" s="8">
        <v>1</v>
      </c>
      <c r="K29" s="7">
        <f t="shared" si="1"/>
        <v>4</v>
      </c>
      <c r="L29" s="7">
        <v>10</v>
      </c>
      <c r="M29" s="19" t="s">
        <v>61</v>
      </c>
      <c r="N29" s="62">
        <v>6.3182000000000002E-2</v>
      </c>
      <c r="O29" s="59">
        <f t="shared" si="3"/>
        <v>0.63182000000000005</v>
      </c>
      <c r="P29" s="38"/>
    </row>
    <row r="30" spans="1:16" s="2" customFormat="1" ht="16.5" thickBot="1" x14ac:dyDescent="0.3">
      <c r="A30" s="116">
        <v>28</v>
      </c>
      <c r="B30" s="149"/>
      <c r="C30" s="107" t="s">
        <v>360</v>
      </c>
      <c r="D30" s="108" t="s">
        <v>95</v>
      </c>
      <c r="E30" s="109" t="s">
        <v>310</v>
      </c>
      <c r="F30" s="109" t="s">
        <v>361</v>
      </c>
      <c r="G30" s="109" t="s">
        <v>413</v>
      </c>
      <c r="H30" s="109" t="s">
        <v>18</v>
      </c>
      <c r="I30" s="109" t="s">
        <v>316</v>
      </c>
      <c r="J30" s="109">
        <v>1</v>
      </c>
      <c r="K30" s="57">
        <f t="shared" si="1"/>
        <v>4</v>
      </c>
      <c r="L30" s="33">
        <v>5</v>
      </c>
      <c r="M30" s="110" t="s">
        <v>61</v>
      </c>
      <c r="N30" s="111">
        <v>0.23066999999999999</v>
      </c>
      <c r="O30" s="112">
        <f t="shared" si="3"/>
        <v>1.1533499999999999</v>
      </c>
      <c r="P30" s="103"/>
    </row>
    <row r="31" spans="1:16" s="2" customFormat="1" ht="26.25" thickBot="1" x14ac:dyDescent="0.3">
      <c r="A31" s="13">
        <v>29</v>
      </c>
      <c r="B31" s="147" t="s">
        <v>231</v>
      </c>
      <c r="C31" s="46" t="s">
        <v>100</v>
      </c>
      <c r="D31" s="36" t="s">
        <v>342</v>
      </c>
      <c r="E31" s="26" t="s">
        <v>309</v>
      </c>
      <c r="F31" s="26" t="s">
        <v>101</v>
      </c>
      <c r="G31" s="26" t="s">
        <v>414</v>
      </c>
      <c r="H31" s="26" t="s">
        <v>102</v>
      </c>
      <c r="I31" s="26" t="s">
        <v>316</v>
      </c>
      <c r="J31" s="26">
        <v>2</v>
      </c>
      <c r="K31" s="27">
        <f t="shared" si="1"/>
        <v>8</v>
      </c>
      <c r="L31" s="27">
        <v>10</v>
      </c>
      <c r="M31" s="28" t="s">
        <v>61</v>
      </c>
      <c r="N31" s="61">
        <v>0.17191400000000001</v>
      </c>
      <c r="O31" s="58">
        <f t="shared" si="3"/>
        <v>1.7191400000000001</v>
      </c>
      <c r="P31" s="29"/>
    </row>
    <row r="32" spans="1:16" s="2" customFormat="1" ht="26.25" thickBot="1" x14ac:dyDescent="0.3">
      <c r="A32" s="116">
        <v>30</v>
      </c>
      <c r="B32" s="149"/>
      <c r="C32" s="49" t="s">
        <v>103</v>
      </c>
      <c r="D32" s="31" t="s">
        <v>104</v>
      </c>
      <c r="E32" s="32" t="s">
        <v>309</v>
      </c>
      <c r="F32" s="32" t="s">
        <v>105</v>
      </c>
      <c r="G32" s="32" t="s">
        <v>415</v>
      </c>
      <c r="H32" s="32" t="s">
        <v>106</v>
      </c>
      <c r="I32" s="32" t="s">
        <v>316</v>
      </c>
      <c r="J32" s="32">
        <v>1</v>
      </c>
      <c r="K32" s="57">
        <f t="shared" si="1"/>
        <v>4</v>
      </c>
      <c r="L32" s="33">
        <v>5</v>
      </c>
      <c r="M32" s="34" t="s">
        <v>61</v>
      </c>
      <c r="N32" s="63">
        <v>0.162718</v>
      </c>
      <c r="O32" s="60">
        <f t="shared" si="3"/>
        <v>0.81359000000000004</v>
      </c>
      <c r="P32" s="35"/>
    </row>
    <row r="33" spans="1:16" s="2" customFormat="1" ht="16.5" thickBot="1" x14ac:dyDescent="0.3">
      <c r="A33" s="116">
        <v>31</v>
      </c>
      <c r="B33" s="147" t="s">
        <v>232</v>
      </c>
      <c r="C33" s="88" t="s">
        <v>337</v>
      </c>
      <c r="D33" s="89" t="s">
        <v>139</v>
      </c>
      <c r="E33" s="90" t="s">
        <v>309</v>
      </c>
      <c r="F33" s="91" t="s">
        <v>338</v>
      </c>
      <c r="G33" s="91" t="s">
        <v>416</v>
      </c>
      <c r="H33" s="91" t="s">
        <v>140</v>
      </c>
      <c r="I33" s="90" t="s">
        <v>316</v>
      </c>
      <c r="J33" s="90">
        <v>1</v>
      </c>
      <c r="K33" s="27">
        <f t="shared" si="1"/>
        <v>4</v>
      </c>
      <c r="L33" s="27">
        <v>5</v>
      </c>
      <c r="M33" s="28" t="s">
        <v>61</v>
      </c>
      <c r="N33" s="92">
        <v>0.31178600000000001</v>
      </c>
      <c r="O33" s="93">
        <f t="shared" si="3"/>
        <v>1.5589300000000001</v>
      </c>
      <c r="P33" s="94"/>
    </row>
    <row r="34" spans="1:16" s="2" customFormat="1" ht="16.5" thickBot="1" x14ac:dyDescent="0.3">
      <c r="A34" s="116">
        <v>32</v>
      </c>
      <c r="B34" s="149"/>
      <c r="C34" s="49" t="s">
        <v>142</v>
      </c>
      <c r="D34" s="40" t="s">
        <v>143</v>
      </c>
      <c r="E34" s="32" t="s">
        <v>309</v>
      </c>
      <c r="F34" s="41" t="s">
        <v>141</v>
      </c>
      <c r="G34" s="41" t="s">
        <v>417</v>
      </c>
      <c r="H34" s="41" t="s">
        <v>144</v>
      </c>
      <c r="I34" s="32" t="s">
        <v>316</v>
      </c>
      <c r="J34" s="32">
        <v>1</v>
      </c>
      <c r="K34" s="57">
        <f t="shared" si="1"/>
        <v>4</v>
      </c>
      <c r="L34" s="33">
        <v>5</v>
      </c>
      <c r="M34" s="34" t="s">
        <v>61</v>
      </c>
      <c r="N34" s="63">
        <v>0.32613599999999998</v>
      </c>
      <c r="O34" s="60">
        <f t="shared" si="3"/>
        <v>1.6306799999999999</v>
      </c>
      <c r="P34" s="35"/>
    </row>
    <row r="35" spans="1:16" s="2" customFormat="1" ht="27" customHeight="1" thickBot="1" x14ac:dyDescent="0.3">
      <c r="A35" s="13">
        <v>33</v>
      </c>
      <c r="B35" s="147" t="s">
        <v>52</v>
      </c>
      <c r="C35" s="46" t="s">
        <v>145</v>
      </c>
      <c r="D35" s="25" t="s">
        <v>146</v>
      </c>
      <c r="E35" s="39" t="s">
        <v>147</v>
      </c>
      <c r="F35" s="39" t="s">
        <v>148</v>
      </c>
      <c r="G35" s="39" t="s">
        <v>418</v>
      </c>
      <c r="H35" s="39" t="s">
        <v>149</v>
      </c>
      <c r="I35" s="39" t="s">
        <v>19</v>
      </c>
      <c r="J35" s="54">
        <v>1</v>
      </c>
      <c r="K35" s="56">
        <f t="shared" si="1"/>
        <v>4</v>
      </c>
      <c r="L35" s="27">
        <v>100</v>
      </c>
      <c r="M35" s="28" t="s">
        <v>61</v>
      </c>
      <c r="N35" s="61">
        <v>1.835E-3</v>
      </c>
      <c r="O35" s="58">
        <f t="shared" si="2"/>
        <v>0.1835</v>
      </c>
      <c r="P35" s="29"/>
    </row>
    <row r="36" spans="1:16" s="2" customFormat="1" ht="16.5" thickBot="1" x14ac:dyDescent="0.3">
      <c r="A36" s="116">
        <v>34</v>
      </c>
      <c r="B36" s="148"/>
      <c r="C36" s="47" t="s">
        <v>150</v>
      </c>
      <c r="D36" s="22" t="s">
        <v>328</v>
      </c>
      <c r="E36" s="24" t="s">
        <v>147</v>
      </c>
      <c r="F36" s="24" t="s">
        <v>151</v>
      </c>
      <c r="G36" s="24" t="s">
        <v>419</v>
      </c>
      <c r="H36" s="24" t="s">
        <v>48</v>
      </c>
      <c r="I36" s="24" t="s">
        <v>214</v>
      </c>
      <c r="J36" s="8">
        <v>1</v>
      </c>
      <c r="K36" s="7">
        <f t="shared" si="1"/>
        <v>4</v>
      </c>
      <c r="L36" s="7">
        <v>10</v>
      </c>
      <c r="M36" s="11" t="s">
        <v>61</v>
      </c>
      <c r="N36" s="62">
        <v>3.8119E-2</v>
      </c>
      <c r="O36" s="59">
        <f>L36*N36</f>
        <v>0.38119000000000003</v>
      </c>
      <c r="P36" s="30"/>
    </row>
    <row r="37" spans="1:16" s="2" customFormat="1" ht="16.5" thickBot="1" x14ac:dyDescent="0.3">
      <c r="A37" s="116">
        <v>35</v>
      </c>
      <c r="B37" s="148"/>
      <c r="C37" s="47" t="s">
        <v>152</v>
      </c>
      <c r="D37" s="22" t="s">
        <v>153</v>
      </c>
      <c r="E37" s="24" t="s">
        <v>147</v>
      </c>
      <c r="F37" s="24" t="s">
        <v>154</v>
      </c>
      <c r="G37" s="24" t="s">
        <v>420</v>
      </c>
      <c r="H37" s="24" t="s">
        <v>7</v>
      </c>
      <c r="I37" s="24" t="s">
        <v>215</v>
      </c>
      <c r="J37" s="8">
        <v>1</v>
      </c>
      <c r="K37" s="7">
        <f t="shared" si="1"/>
        <v>4</v>
      </c>
      <c r="L37" s="7">
        <v>100</v>
      </c>
      <c r="M37" s="11" t="s">
        <v>61</v>
      </c>
      <c r="N37" s="62">
        <v>1.1360000000000001E-3</v>
      </c>
      <c r="O37" s="59">
        <f t="shared" si="2"/>
        <v>0.11360000000000001</v>
      </c>
      <c r="P37" s="30"/>
    </row>
    <row r="38" spans="1:16" s="2" customFormat="1" ht="16.5" thickBot="1" x14ac:dyDescent="0.3">
      <c r="A38" s="116">
        <v>36</v>
      </c>
      <c r="B38" s="148"/>
      <c r="C38" s="47" t="s">
        <v>303</v>
      </c>
      <c r="D38" s="22" t="s">
        <v>156</v>
      </c>
      <c r="E38" s="24" t="s">
        <v>147</v>
      </c>
      <c r="F38" s="24" t="s">
        <v>304</v>
      </c>
      <c r="G38" s="24" t="s">
        <v>421</v>
      </c>
      <c r="H38" s="24" t="s">
        <v>7</v>
      </c>
      <c r="I38" s="24" t="s">
        <v>305</v>
      </c>
      <c r="J38" s="8">
        <v>1</v>
      </c>
      <c r="K38" s="7">
        <f t="shared" si="1"/>
        <v>4</v>
      </c>
      <c r="L38" s="7">
        <v>100</v>
      </c>
      <c r="M38" s="11" t="s">
        <v>61</v>
      </c>
      <c r="N38" s="62">
        <v>1.3420000000000001E-3</v>
      </c>
      <c r="O38" s="59">
        <f t="shared" si="2"/>
        <v>0.13420000000000001</v>
      </c>
      <c r="P38" s="30"/>
    </row>
    <row r="39" spans="1:16" s="2" customFormat="1" ht="16.5" thickBot="1" x14ac:dyDescent="0.3">
      <c r="A39" s="13">
        <v>37</v>
      </c>
      <c r="B39" s="148"/>
      <c r="C39" s="47" t="s">
        <v>158</v>
      </c>
      <c r="D39" s="22" t="s">
        <v>159</v>
      </c>
      <c r="E39" s="24" t="s">
        <v>147</v>
      </c>
      <c r="F39" s="24" t="s">
        <v>160</v>
      </c>
      <c r="G39" s="24" t="s">
        <v>422</v>
      </c>
      <c r="H39" s="24" t="s">
        <v>7</v>
      </c>
      <c r="I39" s="24" t="s">
        <v>216</v>
      </c>
      <c r="J39" s="8">
        <v>1</v>
      </c>
      <c r="K39" s="7">
        <f t="shared" si="1"/>
        <v>4</v>
      </c>
      <c r="L39" s="7">
        <v>100</v>
      </c>
      <c r="M39" s="11" t="s">
        <v>61</v>
      </c>
      <c r="N39" s="62">
        <v>1.688E-3</v>
      </c>
      <c r="O39" s="59">
        <f t="shared" si="2"/>
        <v>0.16880000000000001</v>
      </c>
      <c r="P39" s="30"/>
    </row>
    <row r="40" spans="1:16" s="2" customFormat="1" ht="16.5" thickBot="1" x14ac:dyDescent="0.3">
      <c r="A40" s="116">
        <v>38</v>
      </c>
      <c r="B40" s="148"/>
      <c r="C40" s="47" t="s">
        <v>155</v>
      </c>
      <c r="D40" s="22" t="s">
        <v>161</v>
      </c>
      <c r="E40" s="24" t="s">
        <v>147</v>
      </c>
      <c r="F40" s="24" t="s">
        <v>157</v>
      </c>
      <c r="G40" s="24" t="s">
        <v>423</v>
      </c>
      <c r="H40" s="24" t="s">
        <v>7</v>
      </c>
      <c r="I40" s="24" t="s">
        <v>217</v>
      </c>
      <c r="J40" s="8">
        <v>3</v>
      </c>
      <c r="K40" s="7">
        <f t="shared" si="1"/>
        <v>12</v>
      </c>
      <c r="L40" s="7">
        <v>100</v>
      </c>
      <c r="M40" s="17" t="s">
        <v>61</v>
      </c>
      <c r="N40" s="62">
        <v>1.9009999999999999E-3</v>
      </c>
      <c r="O40" s="59">
        <f t="shared" si="2"/>
        <v>0.19009999999999999</v>
      </c>
      <c r="P40" s="30"/>
    </row>
    <row r="41" spans="1:16" s="2" customFormat="1" ht="16.5" thickBot="1" x14ac:dyDescent="0.3">
      <c r="A41" s="116">
        <v>39</v>
      </c>
      <c r="B41" s="148"/>
      <c r="C41" s="47" t="s">
        <v>162</v>
      </c>
      <c r="D41" s="22" t="s">
        <v>163</v>
      </c>
      <c r="E41" s="24" t="s">
        <v>147</v>
      </c>
      <c r="F41" s="24" t="s">
        <v>164</v>
      </c>
      <c r="G41" s="24" t="s">
        <v>424</v>
      </c>
      <c r="H41" s="24" t="s">
        <v>7</v>
      </c>
      <c r="I41" s="24" t="s">
        <v>218</v>
      </c>
      <c r="J41" s="8">
        <v>3</v>
      </c>
      <c r="K41" s="7">
        <f t="shared" si="1"/>
        <v>12</v>
      </c>
      <c r="L41" s="18">
        <v>100</v>
      </c>
      <c r="M41" s="17" t="s">
        <v>61</v>
      </c>
      <c r="N41" s="62">
        <v>1.108E-3</v>
      </c>
      <c r="O41" s="59">
        <f t="shared" si="2"/>
        <v>0.11080000000000001</v>
      </c>
      <c r="P41" s="30"/>
    </row>
    <row r="42" spans="1:16" s="2" customFormat="1" ht="16.5" thickBot="1" x14ac:dyDescent="0.25">
      <c r="A42" s="116">
        <v>40</v>
      </c>
      <c r="B42" s="148"/>
      <c r="C42" s="53" t="s">
        <v>288</v>
      </c>
      <c r="D42" s="22" t="s">
        <v>296</v>
      </c>
      <c r="E42" s="24" t="s">
        <v>147</v>
      </c>
      <c r="F42" s="24" t="s">
        <v>165</v>
      </c>
      <c r="G42" s="24" t="s">
        <v>425</v>
      </c>
      <c r="H42" s="24" t="s">
        <v>166</v>
      </c>
      <c r="I42" s="24" t="s">
        <v>219</v>
      </c>
      <c r="J42" s="8">
        <v>8</v>
      </c>
      <c r="K42" s="7">
        <f t="shared" si="1"/>
        <v>32</v>
      </c>
      <c r="L42" s="18">
        <v>50</v>
      </c>
      <c r="M42" s="17" t="s">
        <v>61</v>
      </c>
      <c r="N42" s="62">
        <v>3.0490000000000001E-3</v>
      </c>
      <c r="O42" s="59">
        <f t="shared" si="2"/>
        <v>0.15245</v>
      </c>
      <c r="P42" s="30"/>
    </row>
    <row r="43" spans="1:16" s="2" customFormat="1" ht="16.5" thickBot="1" x14ac:dyDescent="0.3">
      <c r="A43" s="13">
        <v>41</v>
      </c>
      <c r="B43" s="148"/>
      <c r="C43" s="47" t="s">
        <v>167</v>
      </c>
      <c r="D43" s="22" t="s">
        <v>343</v>
      </c>
      <c r="E43" s="24" t="s">
        <v>147</v>
      </c>
      <c r="F43" s="24" t="s">
        <v>168</v>
      </c>
      <c r="G43" s="24" t="s">
        <v>426</v>
      </c>
      <c r="H43" s="24" t="s">
        <v>7</v>
      </c>
      <c r="I43" s="24" t="s">
        <v>21</v>
      </c>
      <c r="J43" s="8">
        <v>8</v>
      </c>
      <c r="K43" s="7">
        <f t="shared" si="1"/>
        <v>32</v>
      </c>
      <c r="L43" s="18">
        <v>100</v>
      </c>
      <c r="M43" s="17" t="s">
        <v>61</v>
      </c>
      <c r="N43" s="62">
        <v>2.3960000000000001E-3</v>
      </c>
      <c r="O43" s="59">
        <f t="shared" si="2"/>
        <v>0.23960000000000001</v>
      </c>
      <c r="P43" s="30"/>
    </row>
    <row r="44" spans="1:16" s="2" customFormat="1" ht="26.25" thickBot="1" x14ac:dyDescent="0.3">
      <c r="A44" s="116">
        <v>42</v>
      </c>
      <c r="B44" s="148"/>
      <c r="C44" s="47" t="s">
        <v>169</v>
      </c>
      <c r="D44" s="22" t="s">
        <v>170</v>
      </c>
      <c r="E44" s="24" t="s">
        <v>147</v>
      </c>
      <c r="F44" s="24" t="s">
        <v>171</v>
      </c>
      <c r="G44" s="24" t="s">
        <v>427</v>
      </c>
      <c r="H44" s="24" t="s">
        <v>172</v>
      </c>
      <c r="I44" s="24" t="s">
        <v>220</v>
      </c>
      <c r="J44" s="8">
        <v>1</v>
      </c>
      <c r="K44" s="7">
        <f t="shared" si="1"/>
        <v>4</v>
      </c>
      <c r="L44" s="18">
        <v>100</v>
      </c>
      <c r="M44" s="17" t="s">
        <v>61</v>
      </c>
      <c r="N44" s="62">
        <v>1.9870000000000001E-3</v>
      </c>
      <c r="O44" s="59">
        <f t="shared" si="2"/>
        <v>0.19870000000000002</v>
      </c>
      <c r="P44" s="30"/>
    </row>
    <row r="45" spans="1:16" s="2" customFormat="1" ht="26.25" thickBot="1" x14ac:dyDescent="0.3">
      <c r="A45" s="116">
        <v>43</v>
      </c>
      <c r="B45" s="148"/>
      <c r="C45" s="47" t="s">
        <v>287</v>
      </c>
      <c r="D45" s="22" t="s">
        <v>173</v>
      </c>
      <c r="E45" s="24" t="s">
        <v>44</v>
      </c>
      <c r="F45" s="24" t="s">
        <v>174</v>
      </c>
      <c r="G45" s="24" t="s">
        <v>428</v>
      </c>
      <c r="H45" s="24" t="s">
        <v>7</v>
      </c>
      <c r="I45" s="24" t="s">
        <v>221</v>
      </c>
      <c r="J45" s="8">
        <v>1</v>
      </c>
      <c r="K45" s="7">
        <f t="shared" si="1"/>
        <v>4</v>
      </c>
      <c r="L45" s="18">
        <v>100</v>
      </c>
      <c r="M45" s="17" t="s">
        <v>61</v>
      </c>
      <c r="N45" s="62">
        <v>2.2079999999999999E-3</v>
      </c>
      <c r="O45" s="59">
        <f t="shared" si="2"/>
        <v>0.2208</v>
      </c>
      <c r="P45" s="30"/>
    </row>
    <row r="46" spans="1:16" s="2" customFormat="1" ht="16.5" thickBot="1" x14ac:dyDescent="0.3">
      <c r="A46" s="116">
        <v>44</v>
      </c>
      <c r="B46" s="148"/>
      <c r="C46" s="47" t="s">
        <v>175</v>
      </c>
      <c r="D46" s="22" t="s">
        <v>176</v>
      </c>
      <c r="E46" s="24" t="s">
        <v>147</v>
      </c>
      <c r="F46" s="24" t="s">
        <v>177</v>
      </c>
      <c r="G46" s="24" t="s">
        <v>429</v>
      </c>
      <c r="H46" s="24" t="s">
        <v>7</v>
      </c>
      <c r="I46" s="24" t="s">
        <v>222</v>
      </c>
      <c r="J46" s="8">
        <v>1</v>
      </c>
      <c r="K46" s="7">
        <f t="shared" si="1"/>
        <v>4</v>
      </c>
      <c r="L46" s="18">
        <v>100</v>
      </c>
      <c r="M46" s="17" t="s">
        <v>61</v>
      </c>
      <c r="N46" s="62">
        <v>1.364E-3</v>
      </c>
      <c r="O46" s="59">
        <f t="shared" si="2"/>
        <v>0.13639999999999999</v>
      </c>
      <c r="P46" s="30"/>
    </row>
    <row r="47" spans="1:16" s="2" customFormat="1" ht="26.25" thickBot="1" x14ac:dyDescent="0.3">
      <c r="A47" s="13">
        <v>45</v>
      </c>
      <c r="B47" s="148"/>
      <c r="C47" s="47" t="s">
        <v>178</v>
      </c>
      <c r="D47" s="22" t="s">
        <v>297</v>
      </c>
      <c r="E47" s="24" t="s">
        <v>147</v>
      </c>
      <c r="F47" s="24" t="s">
        <v>179</v>
      </c>
      <c r="G47" s="24" t="s">
        <v>430</v>
      </c>
      <c r="H47" s="24" t="s">
        <v>180</v>
      </c>
      <c r="I47" s="24" t="s">
        <v>20</v>
      </c>
      <c r="J47" s="8">
        <v>10</v>
      </c>
      <c r="K47" s="7">
        <f t="shared" si="1"/>
        <v>40</v>
      </c>
      <c r="L47" s="18">
        <v>100</v>
      </c>
      <c r="M47" s="17" t="s">
        <v>61</v>
      </c>
      <c r="N47" s="62">
        <v>1.99E-3</v>
      </c>
      <c r="O47" s="59">
        <f t="shared" si="2"/>
        <v>0.19900000000000001</v>
      </c>
      <c r="P47" s="30"/>
    </row>
    <row r="48" spans="1:16" s="2" customFormat="1" ht="16.5" thickBot="1" x14ac:dyDescent="0.3">
      <c r="A48" s="116">
        <v>46</v>
      </c>
      <c r="B48" s="148"/>
      <c r="C48" s="47" t="s">
        <v>181</v>
      </c>
      <c r="D48" s="22" t="s">
        <v>182</v>
      </c>
      <c r="E48" s="24" t="s">
        <v>147</v>
      </c>
      <c r="F48" s="24" t="s">
        <v>183</v>
      </c>
      <c r="G48" s="24" t="s">
        <v>431</v>
      </c>
      <c r="H48" s="24" t="s">
        <v>7</v>
      </c>
      <c r="I48" s="24" t="s">
        <v>223</v>
      </c>
      <c r="J48" s="8">
        <v>1</v>
      </c>
      <c r="K48" s="7">
        <f t="shared" si="1"/>
        <v>4</v>
      </c>
      <c r="L48" s="18">
        <v>100</v>
      </c>
      <c r="M48" s="17" t="s">
        <v>61</v>
      </c>
      <c r="N48" s="62">
        <v>1.073E-3</v>
      </c>
      <c r="O48" s="59">
        <f t="shared" si="2"/>
        <v>0.10729999999999999</v>
      </c>
      <c r="P48" s="30"/>
    </row>
    <row r="49" spans="1:16" s="2" customFormat="1" ht="16.5" thickBot="1" x14ac:dyDescent="0.3">
      <c r="A49" s="116">
        <v>47</v>
      </c>
      <c r="B49" s="148"/>
      <c r="C49" s="47" t="s">
        <v>184</v>
      </c>
      <c r="D49" s="22" t="s">
        <v>185</v>
      </c>
      <c r="E49" s="24" t="s">
        <v>147</v>
      </c>
      <c r="F49" s="24" t="s">
        <v>186</v>
      </c>
      <c r="G49" s="24" t="s">
        <v>432</v>
      </c>
      <c r="H49" s="24" t="s">
        <v>180</v>
      </c>
      <c r="I49" s="24" t="s">
        <v>224</v>
      </c>
      <c r="J49" s="8">
        <v>1</v>
      </c>
      <c r="K49" s="7">
        <f t="shared" si="1"/>
        <v>4</v>
      </c>
      <c r="L49" s="18">
        <v>100</v>
      </c>
      <c r="M49" s="17" t="s">
        <v>61</v>
      </c>
      <c r="N49" s="62">
        <v>2.4580000000000001E-3</v>
      </c>
      <c r="O49" s="59">
        <f t="shared" si="2"/>
        <v>0.24580000000000002</v>
      </c>
      <c r="P49" s="30"/>
    </row>
    <row r="50" spans="1:16" s="2" customFormat="1" ht="26.25" thickBot="1" x14ac:dyDescent="0.3">
      <c r="A50" s="116">
        <v>48</v>
      </c>
      <c r="B50" s="148"/>
      <c r="C50" s="47" t="s">
        <v>306</v>
      </c>
      <c r="D50" s="22" t="s">
        <v>45</v>
      </c>
      <c r="E50" s="24" t="s">
        <v>433</v>
      </c>
      <c r="F50" s="24" t="s">
        <v>307</v>
      </c>
      <c r="G50" s="24" t="s">
        <v>434</v>
      </c>
      <c r="H50" s="24" t="s">
        <v>187</v>
      </c>
      <c r="I50" s="24" t="s">
        <v>308</v>
      </c>
      <c r="J50" s="8">
        <v>1</v>
      </c>
      <c r="K50" s="7">
        <f t="shared" si="1"/>
        <v>4</v>
      </c>
      <c r="L50" s="18">
        <v>50</v>
      </c>
      <c r="M50" s="17" t="s">
        <v>61</v>
      </c>
      <c r="N50" s="62">
        <v>9.2890000000000004E-3</v>
      </c>
      <c r="O50" s="59">
        <f t="shared" si="2"/>
        <v>0.46445000000000003</v>
      </c>
      <c r="P50" s="30"/>
    </row>
    <row r="51" spans="1:16" s="2" customFormat="1" ht="16.5" thickBot="1" x14ac:dyDescent="0.3">
      <c r="A51" s="13">
        <v>49</v>
      </c>
      <c r="B51" s="148"/>
      <c r="C51" s="47" t="s">
        <v>188</v>
      </c>
      <c r="D51" s="22" t="s">
        <v>189</v>
      </c>
      <c r="E51" s="24" t="s">
        <v>147</v>
      </c>
      <c r="F51" s="24" t="s">
        <v>190</v>
      </c>
      <c r="G51" s="24" t="s">
        <v>435</v>
      </c>
      <c r="H51" s="24" t="s">
        <v>48</v>
      </c>
      <c r="I51" s="24" t="s">
        <v>47</v>
      </c>
      <c r="J51" s="8">
        <v>1</v>
      </c>
      <c r="K51" s="7">
        <f t="shared" si="1"/>
        <v>4</v>
      </c>
      <c r="L51" s="18">
        <v>100</v>
      </c>
      <c r="M51" s="17" t="s">
        <v>61</v>
      </c>
      <c r="N51" s="62">
        <v>9.8799999999999995E-4</v>
      </c>
      <c r="O51" s="59">
        <f t="shared" si="2"/>
        <v>9.8799999999999999E-2</v>
      </c>
      <c r="P51" s="96"/>
    </row>
    <row r="52" spans="1:16" s="2" customFormat="1" ht="16.5" thickBot="1" x14ac:dyDescent="0.3">
      <c r="A52" s="116">
        <v>50</v>
      </c>
      <c r="B52" s="148"/>
      <c r="C52" s="47" t="s">
        <v>191</v>
      </c>
      <c r="D52" s="22" t="s">
        <v>192</v>
      </c>
      <c r="E52" s="24" t="s">
        <v>147</v>
      </c>
      <c r="F52" s="24" t="s">
        <v>193</v>
      </c>
      <c r="G52" s="24" t="s">
        <v>436</v>
      </c>
      <c r="H52" s="24" t="s">
        <v>7</v>
      </c>
      <c r="I52" s="24" t="s">
        <v>46</v>
      </c>
      <c r="J52" s="8">
        <v>2</v>
      </c>
      <c r="K52" s="7">
        <f t="shared" si="1"/>
        <v>8</v>
      </c>
      <c r="L52" s="18">
        <v>100</v>
      </c>
      <c r="M52" s="17" t="s">
        <v>61</v>
      </c>
      <c r="N52" s="62">
        <v>1.103E-3</v>
      </c>
      <c r="O52" s="59">
        <f t="shared" si="2"/>
        <v>0.11030000000000001</v>
      </c>
      <c r="P52" s="30"/>
    </row>
    <row r="53" spans="1:16" s="2" customFormat="1" ht="16.5" thickBot="1" x14ac:dyDescent="0.3">
      <c r="A53" s="116">
        <v>51</v>
      </c>
      <c r="B53" s="148"/>
      <c r="C53" s="47" t="s">
        <v>194</v>
      </c>
      <c r="D53" s="22" t="s">
        <v>195</v>
      </c>
      <c r="E53" s="24" t="s">
        <v>147</v>
      </c>
      <c r="F53" s="24" t="s">
        <v>196</v>
      </c>
      <c r="G53" s="24" t="s">
        <v>438</v>
      </c>
      <c r="H53" s="24" t="s">
        <v>7</v>
      </c>
      <c r="I53" s="24" t="s">
        <v>225</v>
      </c>
      <c r="J53" s="8">
        <v>1</v>
      </c>
      <c r="K53" s="7">
        <f t="shared" si="1"/>
        <v>4</v>
      </c>
      <c r="L53" s="18">
        <v>100</v>
      </c>
      <c r="M53" s="17" t="s">
        <v>61</v>
      </c>
      <c r="N53" s="62">
        <v>1.297E-3</v>
      </c>
      <c r="O53" s="59">
        <f t="shared" si="2"/>
        <v>0.12970000000000001</v>
      </c>
      <c r="P53" s="30"/>
    </row>
    <row r="54" spans="1:16" s="2" customFormat="1" ht="16.5" thickBot="1" x14ac:dyDescent="0.3">
      <c r="A54" s="116">
        <v>52</v>
      </c>
      <c r="B54" s="148"/>
      <c r="C54" s="47" t="s">
        <v>197</v>
      </c>
      <c r="D54" s="22" t="s">
        <v>198</v>
      </c>
      <c r="E54" s="24" t="s">
        <v>147</v>
      </c>
      <c r="F54" s="24" t="s">
        <v>199</v>
      </c>
      <c r="G54" s="24" t="s">
        <v>437</v>
      </c>
      <c r="H54" s="24" t="s">
        <v>7</v>
      </c>
      <c r="I54" s="24" t="s">
        <v>226</v>
      </c>
      <c r="J54" s="8">
        <v>4</v>
      </c>
      <c r="K54" s="7">
        <f t="shared" si="1"/>
        <v>16</v>
      </c>
      <c r="L54" s="18">
        <v>100</v>
      </c>
      <c r="M54" s="17" t="s">
        <v>61</v>
      </c>
      <c r="N54" s="62">
        <v>7.5000000000000002E-4</v>
      </c>
      <c r="O54" s="59">
        <f t="shared" si="2"/>
        <v>7.4999999999999997E-2</v>
      </c>
      <c r="P54" s="30"/>
    </row>
    <row r="55" spans="1:16" s="2" customFormat="1" ht="16.5" thickBot="1" x14ac:dyDescent="0.3">
      <c r="A55" s="13">
        <v>53</v>
      </c>
      <c r="B55" s="148"/>
      <c r="C55" s="98" t="s">
        <v>200</v>
      </c>
      <c r="D55" s="113" t="s">
        <v>201</v>
      </c>
      <c r="E55" s="114" t="s">
        <v>147</v>
      </c>
      <c r="F55" s="114" t="s">
        <v>362</v>
      </c>
      <c r="G55" s="114" t="s">
        <v>439</v>
      </c>
      <c r="H55" s="100" t="s">
        <v>187</v>
      </c>
      <c r="I55" s="114" t="s">
        <v>227</v>
      </c>
      <c r="J55" s="100">
        <v>1</v>
      </c>
      <c r="K55" s="7">
        <f t="shared" si="1"/>
        <v>4</v>
      </c>
      <c r="L55" s="7">
        <v>100</v>
      </c>
      <c r="M55" s="11" t="s">
        <v>61</v>
      </c>
      <c r="N55" s="101">
        <v>8.2399999999999997E-4</v>
      </c>
      <c r="O55" s="102">
        <f t="shared" si="2"/>
        <v>8.2400000000000001E-2</v>
      </c>
      <c r="P55" s="103"/>
    </row>
    <row r="56" spans="1:16" s="2" customFormat="1" ht="16.5" thickBot="1" x14ac:dyDescent="0.3">
      <c r="A56" s="116">
        <v>54</v>
      </c>
      <c r="B56" s="148"/>
      <c r="C56" s="47" t="s">
        <v>202</v>
      </c>
      <c r="D56" s="22" t="s">
        <v>203</v>
      </c>
      <c r="E56" s="24" t="s">
        <v>147</v>
      </c>
      <c r="F56" s="24" t="s">
        <v>204</v>
      </c>
      <c r="G56" s="24" t="s">
        <v>440</v>
      </c>
      <c r="H56" s="24" t="s">
        <v>7</v>
      </c>
      <c r="I56" s="24" t="s">
        <v>228</v>
      </c>
      <c r="J56" s="8">
        <v>1</v>
      </c>
      <c r="K56" s="7">
        <f t="shared" si="1"/>
        <v>4</v>
      </c>
      <c r="L56" s="18">
        <v>100</v>
      </c>
      <c r="M56" s="17" t="s">
        <v>61</v>
      </c>
      <c r="N56" s="62">
        <v>1.0070000000000001E-3</v>
      </c>
      <c r="O56" s="59">
        <f t="shared" si="2"/>
        <v>0.10070000000000001</v>
      </c>
      <c r="P56" s="30"/>
    </row>
    <row r="57" spans="1:16" s="2" customFormat="1" ht="16.5" thickBot="1" x14ac:dyDescent="0.3">
      <c r="A57" s="116">
        <v>55</v>
      </c>
      <c r="B57" s="148"/>
      <c r="C57" s="47" t="s">
        <v>298</v>
      </c>
      <c r="D57" s="22" t="s">
        <v>205</v>
      </c>
      <c r="E57" s="24" t="s">
        <v>147</v>
      </c>
      <c r="F57" s="24" t="s">
        <v>299</v>
      </c>
      <c r="G57" s="24" t="s">
        <v>441</v>
      </c>
      <c r="H57" s="24" t="s">
        <v>7</v>
      </c>
      <c r="I57" s="24" t="s">
        <v>229</v>
      </c>
      <c r="J57" s="8">
        <v>1</v>
      </c>
      <c r="K57" s="7">
        <f t="shared" si="1"/>
        <v>4</v>
      </c>
      <c r="L57" s="18">
        <v>100</v>
      </c>
      <c r="M57" s="17" t="s">
        <v>61</v>
      </c>
      <c r="N57" s="62">
        <v>2.0590000000000001E-3</v>
      </c>
      <c r="O57" s="59">
        <f t="shared" si="2"/>
        <v>0.2059</v>
      </c>
      <c r="P57" s="30"/>
    </row>
    <row r="58" spans="1:16" s="2" customFormat="1" ht="26.25" thickBot="1" x14ac:dyDescent="0.3">
      <c r="A58" s="116">
        <v>56</v>
      </c>
      <c r="B58" s="149"/>
      <c r="C58" s="49" t="s">
        <v>300</v>
      </c>
      <c r="D58" s="22" t="s">
        <v>344</v>
      </c>
      <c r="E58" s="41" t="s">
        <v>147</v>
      </c>
      <c r="F58" s="41" t="s">
        <v>301</v>
      </c>
      <c r="G58" s="41" t="s">
        <v>442</v>
      </c>
      <c r="H58" s="41" t="s">
        <v>149</v>
      </c>
      <c r="I58" s="41" t="s">
        <v>302</v>
      </c>
      <c r="J58" s="55">
        <v>2</v>
      </c>
      <c r="K58" s="33">
        <f t="shared" si="1"/>
        <v>8</v>
      </c>
      <c r="L58" s="42">
        <v>100</v>
      </c>
      <c r="M58" s="43" t="s">
        <v>61</v>
      </c>
      <c r="N58" s="63">
        <v>9.3000000000000005E-4</v>
      </c>
      <c r="O58" s="60">
        <f t="shared" si="2"/>
        <v>9.2999999999999999E-2</v>
      </c>
      <c r="P58" s="35"/>
    </row>
    <row r="59" spans="1:16" ht="16.5" thickBot="1" x14ac:dyDescent="0.3">
      <c r="A59" s="13">
        <v>57</v>
      </c>
      <c r="B59" s="147" t="s">
        <v>318</v>
      </c>
      <c r="C59" s="46" t="s">
        <v>24</v>
      </c>
      <c r="D59" s="25" t="s">
        <v>25</v>
      </c>
      <c r="E59" s="39" t="s">
        <v>312</v>
      </c>
      <c r="F59" s="39" t="s">
        <v>23</v>
      </c>
      <c r="G59" s="39" t="s">
        <v>443</v>
      </c>
      <c r="H59" s="39" t="s">
        <v>18</v>
      </c>
      <c r="I59" s="26" t="s">
        <v>316</v>
      </c>
      <c r="J59" s="26">
        <v>1</v>
      </c>
      <c r="K59" s="71">
        <f t="shared" si="1"/>
        <v>4</v>
      </c>
      <c r="L59" s="44">
        <v>5</v>
      </c>
      <c r="M59" s="45" t="s">
        <v>61</v>
      </c>
      <c r="N59" s="61">
        <v>0.97045499999999996</v>
      </c>
      <c r="O59" s="58">
        <f>N59*L59</f>
        <v>4.8522749999999997</v>
      </c>
      <c r="P59" s="29"/>
    </row>
    <row r="60" spans="1:16" ht="16.5" thickBot="1" x14ac:dyDescent="0.3">
      <c r="A60" s="116">
        <v>58</v>
      </c>
      <c r="B60" s="148"/>
      <c r="C60" s="130" t="s">
        <v>378</v>
      </c>
      <c r="D60" s="95" t="s">
        <v>379</v>
      </c>
      <c r="E60" s="124" t="s">
        <v>380</v>
      </c>
      <c r="F60" s="124" t="s">
        <v>381</v>
      </c>
      <c r="G60" s="124" t="s">
        <v>444</v>
      </c>
      <c r="H60" s="124" t="s">
        <v>382</v>
      </c>
      <c r="I60" s="125" t="s">
        <v>316</v>
      </c>
      <c r="J60" s="125">
        <v>1</v>
      </c>
      <c r="K60" s="71">
        <f t="shared" si="1"/>
        <v>4</v>
      </c>
      <c r="L60" s="126">
        <v>5</v>
      </c>
      <c r="M60" s="127" t="s">
        <v>61</v>
      </c>
      <c r="N60" s="128">
        <v>0.21038200000000001</v>
      </c>
      <c r="O60" s="65">
        <f>N60*L60</f>
        <v>1.0519100000000001</v>
      </c>
      <c r="P60" s="129"/>
    </row>
    <row r="61" spans="1:16" ht="16.5" thickBot="1" x14ac:dyDescent="0.3">
      <c r="A61" s="116">
        <v>59</v>
      </c>
      <c r="B61" s="148"/>
      <c r="C61" s="47" t="s">
        <v>233</v>
      </c>
      <c r="D61" s="22" t="s">
        <v>27</v>
      </c>
      <c r="E61" s="24" t="s">
        <v>59</v>
      </c>
      <c r="F61" s="24" t="s">
        <v>234</v>
      </c>
      <c r="G61" s="24" t="s">
        <v>445</v>
      </c>
      <c r="H61" s="24" t="s">
        <v>138</v>
      </c>
      <c r="I61" s="8" t="s">
        <v>316</v>
      </c>
      <c r="J61" s="8">
        <v>1</v>
      </c>
      <c r="K61" s="7">
        <f t="shared" si="1"/>
        <v>4</v>
      </c>
      <c r="L61" s="18">
        <v>5</v>
      </c>
      <c r="M61" s="17" t="s">
        <v>61</v>
      </c>
      <c r="N61" s="62">
        <v>0.18817300000000001</v>
      </c>
      <c r="O61" s="59">
        <f>N61*L61</f>
        <v>0.94086500000000006</v>
      </c>
      <c r="P61" s="30"/>
    </row>
    <row r="62" spans="1:16" ht="16.5" thickBot="1" x14ac:dyDescent="0.3">
      <c r="A62" s="116">
        <v>60</v>
      </c>
      <c r="B62" s="148"/>
      <c r="C62" s="47" t="s">
        <v>235</v>
      </c>
      <c r="D62" s="22" t="s">
        <v>28</v>
      </c>
      <c r="E62" s="24" t="s">
        <v>313</v>
      </c>
      <c r="F62" s="24" t="s">
        <v>236</v>
      </c>
      <c r="G62" s="24" t="s">
        <v>446</v>
      </c>
      <c r="H62" s="24" t="s">
        <v>237</v>
      </c>
      <c r="I62" s="8" t="s">
        <v>316</v>
      </c>
      <c r="J62" s="8">
        <v>1</v>
      </c>
      <c r="K62" s="7">
        <f t="shared" si="1"/>
        <v>4</v>
      </c>
      <c r="L62" s="18">
        <v>10</v>
      </c>
      <c r="M62" s="17" t="s">
        <v>61</v>
      </c>
      <c r="N62" s="62">
        <v>5.7671E-2</v>
      </c>
      <c r="O62" s="59">
        <f>L62*N62</f>
        <v>0.57671000000000006</v>
      </c>
      <c r="P62" s="30"/>
    </row>
    <row r="63" spans="1:16" ht="16.5" thickBot="1" x14ac:dyDescent="0.3">
      <c r="A63" s="13">
        <v>61</v>
      </c>
      <c r="B63" s="148"/>
      <c r="C63" s="72" t="s">
        <v>238</v>
      </c>
      <c r="D63" s="73" t="s">
        <v>29</v>
      </c>
      <c r="E63" s="74" t="s">
        <v>447</v>
      </c>
      <c r="F63" s="74" t="s">
        <v>239</v>
      </c>
      <c r="G63" s="74" t="s">
        <v>448</v>
      </c>
      <c r="H63" s="74" t="s">
        <v>30</v>
      </c>
      <c r="I63" s="66" t="s">
        <v>316</v>
      </c>
      <c r="J63" s="66">
        <v>1</v>
      </c>
      <c r="K63" s="67">
        <f t="shared" si="1"/>
        <v>4</v>
      </c>
      <c r="L63" s="67">
        <v>4</v>
      </c>
      <c r="M63" s="64" t="s">
        <v>61</v>
      </c>
      <c r="N63" s="68">
        <v>4.6693179999999996</v>
      </c>
      <c r="O63" s="69">
        <f t="shared" si="2"/>
        <v>18.677271999999999</v>
      </c>
      <c r="P63" s="97" t="s">
        <v>351</v>
      </c>
    </row>
    <row r="64" spans="1:16" ht="16.5" thickBot="1" x14ac:dyDescent="0.3">
      <c r="A64" s="116">
        <v>62</v>
      </c>
      <c r="B64" s="148"/>
      <c r="C64" s="72" t="s">
        <v>240</v>
      </c>
      <c r="D64" s="73" t="s">
        <v>31</v>
      </c>
      <c r="E64" s="74" t="s">
        <v>309</v>
      </c>
      <c r="F64" s="74" t="s">
        <v>241</v>
      </c>
      <c r="G64" s="74"/>
      <c r="H64" s="74" t="s">
        <v>242</v>
      </c>
      <c r="I64" s="66" t="s">
        <v>316</v>
      </c>
      <c r="J64" s="66">
        <v>1</v>
      </c>
      <c r="K64" s="67">
        <f t="shared" si="1"/>
        <v>4</v>
      </c>
      <c r="L64" s="67">
        <v>4</v>
      </c>
      <c r="M64" s="66" t="s">
        <v>316</v>
      </c>
      <c r="N64" s="68" t="s">
        <v>316</v>
      </c>
      <c r="O64" s="69" t="s">
        <v>316</v>
      </c>
      <c r="P64" s="70" t="s">
        <v>323</v>
      </c>
    </row>
    <row r="65" spans="1:16" ht="16.5" thickBot="1" x14ac:dyDescent="0.3">
      <c r="A65" s="116">
        <v>63</v>
      </c>
      <c r="B65" s="148"/>
      <c r="C65" s="72" t="s">
        <v>243</v>
      </c>
      <c r="D65" s="73" t="s">
        <v>32</v>
      </c>
      <c r="E65" s="74" t="s">
        <v>309</v>
      </c>
      <c r="F65" s="74" t="s">
        <v>244</v>
      </c>
      <c r="G65" s="74"/>
      <c r="H65" s="74" t="s">
        <v>245</v>
      </c>
      <c r="I65" s="66" t="s">
        <v>316</v>
      </c>
      <c r="J65" s="66">
        <v>1</v>
      </c>
      <c r="K65" s="67">
        <f t="shared" si="1"/>
        <v>4</v>
      </c>
      <c r="L65" s="67">
        <v>4</v>
      </c>
      <c r="M65" s="66" t="s">
        <v>316</v>
      </c>
      <c r="N65" s="68" t="s">
        <v>316</v>
      </c>
      <c r="O65" s="69" t="s">
        <v>316</v>
      </c>
      <c r="P65" s="70" t="s">
        <v>323</v>
      </c>
    </row>
    <row r="66" spans="1:16" ht="26.25" thickBot="1" x14ac:dyDescent="0.3">
      <c r="A66" s="116">
        <v>64</v>
      </c>
      <c r="B66" s="148"/>
      <c r="C66" s="47" t="s">
        <v>246</v>
      </c>
      <c r="D66" s="22" t="s">
        <v>247</v>
      </c>
      <c r="E66" s="24" t="s">
        <v>248</v>
      </c>
      <c r="F66" s="24" t="s">
        <v>249</v>
      </c>
      <c r="G66" s="24" t="s">
        <v>449</v>
      </c>
      <c r="H66" s="24" t="s">
        <v>250</v>
      </c>
      <c r="I66" s="8" t="s">
        <v>316</v>
      </c>
      <c r="J66" s="8">
        <v>1</v>
      </c>
      <c r="K66" s="7">
        <f t="shared" si="1"/>
        <v>4</v>
      </c>
      <c r="L66" s="18">
        <v>5</v>
      </c>
      <c r="M66" s="17" t="s">
        <v>61</v>
      </c>
      <c r="N66" s="62">
        <v>0.238589</v>
      </c>
      <c r="O66" s="59">
        <f t="shared" ref="O66:O74" si="4">N66*L66</f>
        <v>1.1929449999999999</v>
      </c>
      <c r="P66" s="30"/>
    </row>
    <row r="67" spans="1:16" ht="16.5" thickBot="1" x14ac:dyDescent="0.3">
      <c r="A67" s="13">
        <v>65</v>
      </c>
      <c r="B67" s="148"/>
      <c r="C67" s="47" t="s">
        <v>251</v>
      </c>
      <c r="D67" s="22" t="s">
        <v>252</v>
      </c>
      <c r="E67" s="24" t="s">
        <v>315</v>
      </c>
      <c r="F67" s="24" t="s">
        <v>253</v>
      </c>
      <c r="G67" s="24" t="s">
        <v>450</v>
      </c>
      <c r="H67" s="24" t="s">
        <v>26</v>
      </c>
      <c r="I67" s="8" t="s">
        <v>316</v>
      </c>
      <c r="J67" s="8">
        <v>1</v>
      </c>
      <c r="K67" s="7">
        <f t="shared" si="1"/>
        <v>4</v>
      </c>
      <c r="L67" s="18">
        <v>4</v>
      </c>
      <c r="M67" s="17" t="s">
        <v>61</v>
      </c>
      <c r="N67" s="62">
        <v>1.765909</v>
      </c>
      <c r="O67" s="59">
        <f t="shared" si="4"/>
        <v>7.0636359999999998</v>
      </c>
      <c r="P67" s="30"/>
    </row>
    <row r="68" spans="1:16" ht="16.5" thickBot="1" x14ac:dyDescent="0.3">
      <c r="A68" s="116">
        <v>66</v>
      </c>
      <c r="B68" s="148"/>
      <c r="C68" s="47" t="s">
        <v>33</v>
      </c>
      <c r="D68" s="22" t="s">
        <v>254</v>
      </c>
      <c r="E68" s="24" t="s">
        <v>313</v>
      </c>
      <c r="F68" s="24" t="s">
        <v>324</v>
      </c>
      <c r="G68" s="24" t="s">
        <v>451</v>
      </c>
      <c r="H68" s="24" t="s">
        <v>30</v>
      </c>
      <c r="I68" s="8" t="s">
        <v>316</v>
      </c>
      <c r="J68" s="8">
        <v>1</v>
      </c>
      <c r="K68" s="7">
        <f t="shared" si="1"/>
        <v>4</v>
      </c>
      <c r="L68" s="18">
        <v>4</v>
      </c>
      <c r="M68" s="17" t="s">
        <v>61</v>
      </c>
      <c r="N68" s="62">
        <v>0.93863600000000003</v>
      </c>
      <c r="O68" s="59">
        <f t="shared" si="4"/>
        <v>3.7545440000000001</v>
      </c>
      <c r="P68" s="30"/>
    </row>
    <row r="69" spans="1:16" ht="16.5" thickBot="1" x14ac:dyDescent="0.3">
      <c r="A69" s="116">
        <v>67</v>
      </c>
      <c r="B69" s="148"/>
      <c r="C69" s="47" t="s">
        <v>255</v>
      </c>
      <c r="D69" s="22" t="s">
        <v>256</v>
      </c>
      <c r="E69" s="24" t="s">
        <v>313</v>
      </c>
      <c r="F69" s="24" t="s">
        <v>257</v>
      </c>
      <c r="G69" s="24" t="s">
        <v>452</v>
      </c>
      <c r="H69" s="24" t="s">
        <v>26</v>
      </c>
      <c r="I69" s="8" t="s">
        <v>316</v>
      </c>
      <c r="J69" s="8">
        <v>1</v>
      </c>
      <c r="K69" s="7">
        <f t="shared" si="1"/>
        <v>4</v>
      </c>
      <c r="L69" s="18">
        <v>4</v>
      </c>
      <c r="M69" s="17" t="s">
        <v>61</v>
      </c>
      <c r="N69" s="62">
        <v>1.2440910000000001</v>
      </c>
      <c r="O69" s="59">
        <f t="shared" si="4"/>
        <v>4.9763640000000002</v>
      </c>
      <c r="P69" s="30"/>
    </row>
    <row r="70" spans="1:16" ht="16.5" thickBot="1" x14ac:dyDescent="0.3">
      <c r="A70" s="116">
        <v>68</v>
      </c>
      <c r="B70" s="148"/>
      <c r="C70" s="98" t="s">
        <v>258</v>
      </c>
      <c r="D70" s="113" t="s">
        <v>259</v>
      </c>
      <c r="E70" s="114" t="s">
        <v>260</v>
      </c>
      <c r="F70" s="114" t="s">
        <v>363</v>
      </c>
      <c r="G70" s="114" t="s">
        <v>453</v>
      </c>
      <c r="H70" s="114" t="s">
        <v>26</v>
      </c>
      <c r="I70" s="100" t="s">
        <v>316</v>
      </c>
      <c r="J70" s="100">
        <v>1</v>
      </c>
      <c r="K70" s="7">
        <f t="shared" si="1"/>
        <v>4</v>
      </c>
      <c r="L70" s="7">
        <v>4</v>
      </c>
      <c r="M70" s="11" t="s">
        <v>61</v>
      </c>
      <c r="N70" s="101">
        <v>0.58545499999999995</v>
      </c>
      <c r="O70" s="102">
        <f t="shared" si="4"/>
        <v>2.3418199999999998</v>
      </c>
      <c r="P70" s="103"/>
    </row>
    <row r="71" spans="1:16" ht="16.5" thickBot="1" x14ac:dyDescent="0.3">
      <c r="A71" s="13">
        <v>69</v>
      </c>
      <c r="B71" s="149"/>
      <c r="C71" s="49" t="s">
        <v>261</v>
      </c>
      <c r="D71" s="40" t="s">
        <v>262</v>
      </c>
      <c r="E71" s="41" t="s">
        <v>314</v>
      </c>
      <c r="F71" s="41" t="s">
        <v>263</v>
      </c>
      <c r="G71" s="41" t="s">
        <v>454</v>
      </c>
      <c r="H71" s="41" t="s">
        <v>26</v>
      </c>
      <c r="I71" s="32" t="s">
        <v>316</v>
      </c>
      <c r="J71" s="32">
        <v>1</v>
      </c>
      <c r="K71" s="33">
        <f t="shared" ref="K71:K85" si="5">J71*4</f>
        <v>4</v>
      </c>
      <c r="L71" s="42">
        <v>4</v>
      </c>
      <c r="M71" s="43" t="s">
        <v>61</v>
      </c>
      <c r="N71" s="63">
        <v>1.5209090000000001</v>
      </c>
      <c r="O71" s="60">
        <f t="shared" si="4"/>
        <v>6.0836360000000003</v>
      </c>
      <c r="P71" s="35"/>
    </row>
    <row r="72" spans="1:16" ht="16.5" thickBot="1" x14ac:dyDescent="0.3">
      <c r="A72" s="116">
        <v>70</v>
      </c>
      <c r="B72" s="48" t="s">
        <v>350</v>
      </c>
      <c r="C72" s="49" t="s">
        <v>57</v>
      </c>
      <c r="D72" s="40" t="s">
        <v>325</v>
      </c>
      <c r="E72" s="32" t="s">
        <v>309</v>
      </c>
      <c r="F72" s="41" t="s">
        <v>55</v>
      </c>
      <c r="G72" s="41" t="s">
        <v>455</v>
      </c>
      <c r="H72" s="41" t="s">
        <v>56</v>
      </c>
      <c r="I72" s="32" t="s">
        <v>316</v>
      </c>
      <c r="J72" s="32">
        <v>2</v>
      </c>
      <c r="K72" s="57">
        <f t="shared" si="5"/>
        <v>8</v>
      </c>
      <c r="L72" s="42">
        <v>10</v>
      </c>
      <c r="M72" s="43" t="s">
        <v>61</v>
      </c>
      <c r="N72" s="63">
        <v>0.18381400000000001</v>
      </c>
      <c r="O72" s="60">
        <f t="shared" si="4"/>
        <v>1.8381400000000001</v>
      </c>
      <c r="P72" s="35"/>
    </row>
    <row r="73" spans="1:16" ht="16.5" thickBot="1" x14ac:dyDescent="0.3">
      <c r="A73" s="116">
        <v>71</v>
      </c>
      <c r="B73" s="147" t="s">
        <v>319</v>
      </c>
      <c r="C73" s="141" t="s">
        <v>264</v>
      </c>
      <c r="D73" s="142" t="s">
        <v>11</v>
      </c>
      <c r="E73" s="143" t="s">
        <v>309</v>
      </c>
      <c r="F73" s="144" t="s">
        <v>265</v>
      </c>
      <c r="G73" s="144"/>
      <c r="H73" s="144" t="s">
        <v>266</v>
      </c>
      <c r="I73" s="143" t="s">
        <v>316</v>
      </c>
      <c r="J73" s="143">
        <v>1</v>
      </c>
      <c r="K73" s="145">
        <f t="shared" si="5"/>
        <v>4</v>
      </c>
      <c r="L73" s="145">
        <v>5</v>
      </c>
      <c r="M73" s="146" t="s">
        <v>61</v>
      </c>
      <c r="N73" s="68" t="s">
        <v>316</v>
      </c>
      <c r="O73" s="69" t="s">
        <v>316</v>
      </c>
      <c r="P73" s="70" t="s">
        <v>323</v>
      </c>
    </row>
    <row r="74" spans="1:16" ht="26.25" thickBot="1" x14ac:dyDescent="0.3">
      <c r="A74" s="116">
        <v>72</v>
      </c>
      <c r="B74" s="148"/>
      <c r="C74" s="47" t="s">
        <v>267</v>
      </c>
      <c r="D74" s="22" t="s">
        <v>268</v>
      </c>
      <c r="E74" s="8" t="s">
        <v>309</v>
      </c>
      <c r="F74" s="24" t="s">
        <v>269</v>
      </c>
      <c r="G74" s="24" t="s">
        <v>269</v>
      </c>
      <c r="H74" s="24" t="s">
        <v>270</v>
      </c>
      <c r="I74" s="8" t="s">
        <v>316</v>
      </c>
      <c r="J74" s="8">
        <v>1</v>
      </c>
      <c r="K74" s="7">
        <f t="shared" si="5"/>
        <v>4</v>
      </c>
      <c r="L74" s="18">
        <v>5</v>
      </c>
      <c r="M74" s="17" t="s">
        <v>61</v>
      </c>
      <c r="N74" s="62">
        <v>6.0162E-2</v>
      </c>
      <c r="O74" s="59">
        <f t="shared" si="4"/>
        <v>0.30081000000000002</v>
      </c>
      <c r="P74" s="30"/>
    </row>
    <row r="75" spans="1:16" ht="16.5" thickBot="1" x14ac:dyDescent="0.3">
      <c r="A75" s="13">
        <v>73</v>
      </c>
      <c r="B75" s="148"/>
      <c r="C75" s="47" t="s">
        <v>271</v>
      </c>
      <c r="D75" s="22" t="s">
        <v>12</v>
      </c>
      <c r="E75" s="8" t="s">
        <v>309</v>
      </c>
      <c r="F75" s="24" t="s">
        <v>272</v>
      </c>
      <c r="G75" s="24" t="s">
        <v>456</v>
      </c>
      <c r="H75" s="24" t="s">
        <v>320</v>
      </c>
      <c r="I75" s="8" t="s">
        <v>316</v>
      </c>
      <c r="J75" s="8">
        <v>1</v>
      </c>
      <c r="K75" s="7">
        <f t="shared" si="5"/>
        <v>4</v>
      </c>
      <c r="L75" s="18">
        <v>4</v>
      </c>
      <c r="M75" s="17" t="s">
        <v>61</v>
      </c>
      <c r="N75" s="62">
        <v>0.74295500000000003</v>
      </c>
      <c r="O75" s="59">
        <f>N75*L75</f>
        <v>2.9718200000000001</v>
      </c>
      <c r="P75" s="30"/>
    </row>
    <row r="76" spans="1:16" ht="16.5" thickBot="1" x14ac:dyDescent="0.3">
      <c r="A76" s="116">
        <v>74</v>
      </c>
      <c r="B76" s="148"/>
      <c r="C76" s="72" t="s">
        <v>273</v>
      </c>
      <c r="D76" s="73" t="s">
        <v>274</v>
      </c>
      <c r="E76" s="66" t="s">
        <v>309</v>
      </c>
      <c r="F76" s="74" t="s">
        <v>275</v>
      </c>
      <c r="G76" s="74"/>
      <c r="H76" s="74" t="s">
        <v>276</v>
      </c>
      <c r="I76" s="66" t="s">
        <v>316</v>
      </c>
      <c r="J76" s="66">
        <v>1</v>
      </c>
      <c r="K76" s="67">
        <v>1</v>
      </c>
      <c r="L76" s="67">
        <v>1</v>
      </c>
      <c r="M76" s="66" t="s">
        <v>316</v>
      </c>
      <c r="N76" s="68" t="s">
        <v>316</v>
      </c>
      <c r="O76" s="69" t="s">
        <v>316</v>
      </c>
      <c r="P76" s="70" t="s">
        <v>323</v>
      </c>
    </row>
    <row r="77" spans="1:16" ht="16.5" thickBot="1" x14ac:dyDescent="0.3">
      <c r="A77" s="116">
        <v>75</v>
      </c>
      <c r="B77" s="148"/>
      <c r="C77" s="47" t="s">
        <v>277</v>
      </c>
      <c r="D77" s="22" t="s">
        <v>278</v>
      </c>
      <c r="E77" s="8" t="s">
        <v>309</v>
      </c>
      <c r="F77" s="24" t="s">
        <v>279</v>
      </c>
      <c r="G77" s="24" t="s">
        <v>457</v>
      </c>
      <c r="H77" s="24" t="s">
        <v>280</v>
      </c>
      <c r="I77" s="8" t="s">
        <v>316</v>
      </c>
      <c r="J77" s="8">
        <v>1</v>
      </c>
      <c r="K77" s="7">
        <f t="shared" si="5"/>
        <v>4</v>
      </c>
      <c r="L77" s="18">
        <v>4</v>
      </c>
      <c r="M77" s="17" t="s">
        <v>61</v>
      </c>
      <c r="N77" s="62">
        <v>0.20011999999999999</v>
      </c>
      <c r="O77" s="59">
        <f>N77*L77</f>
        <v>0.80047999999999997</v>
      </c>
      <c r="P77" s="30"/>
    </row>
    <row r="78" spans="1:16" ht="16.5" thickBot="1" x14ac:dyDescent="0.3">
      <c r="A78" s="116">
        <v>76</v>
      </c>
      <c r="B78" s="148"/>
      <c r="C78" s="47" t="s">
        <v>281</v>
      </c>
      <c r="D78" s="22" t="s">
        <v>13</v>
      </c>
      <c r="E78" s="8" t="s">
        <v>309</v>
      </c>
      <c r="F78" s="24" t="s">
        <v>282</v>
      </c>
      <c r="G78" s="24" t="s">
        <v>458</v>
      </c>
      <c r="H78" s="24" t="s">
        <v>283</v>
      </c>
      <c r="I78" s="8" t="s">
        <v>316</v>
      </c>
      <c r="J78" s="8">
        <v>1</v>
      </c>
      <c r="K78" s="7">
        <f t="shared" si="5"/>
        <v>4</v>
      </c>
      <c r="L78" s="18">
        <v>5</v>
      </c>
      <c r="M78" s="17" t="s">
        <v>61</v>
      </c>
      <c r="N78" s="62">
        <v>9.2448000000000002E-2</v>
      </c>
      <c r="O78" s="59">
        <f>L78*N78</f>
        <v>0.46223999999999998</v>
      </c>
      <c r="P78" s="30"/>
    </row>
    <row r="79" spans="1:16" ht="16.5" thickBot="1" x14ac:dyDescent="0.3">
      <c r="A79" s="13">
        <v>77</v>
      </c>
      <c r="B79" s="148"/>
      <c r="C79" s="47" t="s">
        <v>281</v>
      </c>
      <c r="D79" s="22" t="s">
        <v>14</v>
      </c>
      <c r="E79" s="8" t="s">
        <v>309</v>
      </c>
      <c r="F79" s="24" t="s">
        <v>284</v>
      </c>
      <c r="G79" s="24" t="s">
        <v>459</v>
      </c>
      <c r="H79" s="24" t="s">
        <v>283</v>
      </c>
      <c r="I79" s="8" t="s">
        <v>316</v>
      </c>
      <c r="J79" s="8">
        <v>1</v>
      </c>
      <c r="K79" s="7">
        <f t="shared" si="5"/>
        <v>4</v>
      </c>
      <c r="L79" s="18">
        <v>5</v>
      </c>
      <c r="M79" s="17" t="s">
        <v>61</v>
      </c>
      <c r="N79" s="62">
        <v>6.1814000000000001E-2</v>
      </c>
      <c r="O79" s="59">
        <f>L79*N79</f>
        <v>0.30907000000000001</v>
      </c>
      <c r="P79" s="30"/>
    </row>
    <row r="80" spans="1:16" ht="16.5" thickBot="1" x14ac:dyDescent="0.3">
      <c r="A80" s="116">
        <v>78</v>
      </c>
      <c r="B80" s="148"/>
      <c r="C80" s="47" t="s">
        <v>49</v>
      </c>
      <c r="D80" s="22" t="s">
        <v>345</v>
      </c>
      <c r="E80" s="8" t="s">
        <v>309</v>
      </c>
      <c r="F80" s="24" t="s">
        <v>327</v>
      </c>
      <c r="G80" s="24" t="s">
        <v>460</v>
      </c>
      <c r="H80" s="24" t="s">
        <v>326</v>
      </c>
      <c r="I80" s="8" t="s">
        <v>316</v>
      </c>
      <c r="J80" s="8">
        <v>1</v>
      </c>
      <c r="K80" s="7">
        <f t="shared" si="5"/>
        <v>4</v>
      </c>
      <c r="L80" s="18">
        <v>4</v>
      </c>
      <c r="M80" s="17" t="s">
        <v>61</v>
      </c>
      <c r="N80" s="62">
        <v>0.17465</v>
      </c>
      <c r="O80" s="59">
        <f>L80*N80</f>
        <v>0.6986</v>
      </c>
      <c r="P80" s="30"/>
    </row>
    <row r="81" spans="1:16" ht="16.5" thickBot="1" x14ac:dyDescent="0.3">
      <c r="A81" s="116">
        <v>79</v>
      </c>
      <c r="B81" s="148"/>
      <c r="C81" s="47" t="s">
        <v>15</v>
      </c>
      <c r="D81" s="22" t="s">
        <v>285</v>
      </c>
      <c r="E81" s="8" t="s">
        <v>309</v>
      </c>
      <c r="F81" s="24" t="s">
        <v>286</v>
      </c>
      <c r="G81" s="24" t="s">
        <v>461</v>
      </c>
      <c r="H81" s="24" t="s">
        <v>16</v>
      </c>
      <c r="I81" s="8" t="s">
        <v>316</v>
      </c>
      <c r="J81" s="8">
        <v>1</v>
      </c>
      <c r="K81" s="7">
        <f t="shared" si="5"/>
        <v>4</v>
      </c>
      <c r="L81" s="18">
        <v>50</v>
      </c>
      <c r="M81" s="17" t="s">
        <v>61</v>
      </c>
      <c r="N81" s="62">
        <v>6.9610000000000002E-3</v>
      </c>
      <c r="O81" s="59">
        <f>L81*N81</f>
        <v>0.34805000000000003</v>
      </c>
      <c r="P81" s="30"/>
    </row>
    <row r="82" spans="1:16" ht="16.5" thickBot="1" x14ac:dyDescent="0.3">
      <c r="A82" s="116">
        <v>80</v>
      </c>
      <c r="B82" s="148"/>
      <c r="C82" s="75" t="s">
        <v>17</v>
      </c>
      <c r="D82" s="76" t="s">
        <v>346</v>
      </c>
      <c r="E82" s="77" t="s">
        <v>50</v>
      </c>
      <c r="F82" s="77" t="s">
        <v>50</v>
      </c>
      <c r="G82" s="77"/>
      <c r="H82" s="77" t="s">
        <v>316</v>
      </c>
      <c r="I82" s="78" t="s">
        <v>316</v>
      </c>
      <c r="J82" s="78">
        <v>7</v>
      </c>
      <c r="K82" s="79">
        <f t="shared" si="5"/>
        <v>28</v>
      </c>
      <c r="L82" s="78" t="s">
        <v>316</v>
      </c>
      <c r="M82" s="78" t="s">
        <v>316</v>
      </c>
      <c r="N82" s="80" t="s">
        <v>316</v>
      </c>
      <c r="O82" s="81" t="s">
        <v>316</v>
      </c>
      <c r="P82" s="82" t="s">
        <v>317</v>
      </c>
    </row>
    <row r="83" spans="1:16" ht="39" thickBot="1" x14ac:dyDescent="0.3">
      <c r="A83" s="13">
        <v>81</v>
      </c>
      <c r="B83" s="148"/>
      <c r="C83" s="75" t="s">
        <v>22</v>
      </c>
      <c r="D83" s="76" t="s">
        <v>347</v>
      </c>
      <c r="E83" s="77" t="s">
        <v>51</v>
      </c>
      <c r="F83" s="77" t="s">
        <v>51</v>
      </c>
      <c r="G83" s="77"/>
      <c r="H83" s="83" t="s">
        <v>316</v>
      </c>
      <c r="I83" s="78" t="s">
        <v>316</v>
      </c>
      <c r="J83" s="78">
        <v>18</v>
      </c>
      <c r="K83" s="79">
        <f t="shared" si="5"/>
        <v>72</v>
      </c>
      <c r="L83" s="78" t="s">
        <v>316</v>
      </c>
      <c r="M83" s="78" t="s">
        <v>316</v>
      </c>
      <c r="N83" s="80" t="s">
        <v>316</v>
      </c>
      <c r="O83" s="84" t="s">
        <v>316</v>
      </c>
      <c r="P83" s="82" t="s">
        <v>317</v>
      </c>
    </row>
    <row r="84" spans="1:16" ht="16.5" thickBot="1" x14ac:dyDescent="0.3">
      <c r="A84" s="13">
        <v>82</v>
      </c>
      <c r="B84" s="150"/>
      <c r="C84" s="138" t="s">
        <v>384</v>
      </c>
      <c r="D84" s="73" t="s">
        <v>383</v>
      </c>
      <c r="E84" s="74"/>
      <c r="F84" s="74"/>
      <c r="G84" s="74"/>
      <c r="H84" s="139" t="s">
        <v>316</v>
      </c>
      <c r="I84" s="66"/>
      <c r="J84" s="66">
        <v>1</v>
      </c>
      <c r="K84" s="67">
        <f t="shared" si="5"/>
        <v>4</v>
      </c>
      <c r="L84" s="66"/>
      <c r="M84" s="66"/>
      <c r="N84" s="68"/>
      <c r="O84" s="69"/>
      <c r="P84" s="140" t="s">
        <v>323</v>
      </c>
    </row>
    <row r="85" spans="1:16" ht="16.5" thickBot="1" x14ac:dyDescent="0.3">
      <c r="A85" s="116">
        <v>83</v>
      </c>
      <c r="B85" s="149"/>
      <c r="C85" s="131" t="s">
        <v>349</v>
      </c>
      <c r="D85" s="131" t="s">
        <v>348</v>
      </c>
      <c r="E85" s="132"/>
      <c r="F85" s="133"/>
      <c r="G85" s="133"/>
      <c r="H85" s="134" t="s">
        <v>316</v>
      </c>
      <c r="I85" s="132"/>
      <c r="J85" s="132">
        <v>1</v>
      </c>
      <c r="K85" s="135">
        <f t="shared" si="5"/>
        <v>4</v>
      </c>
      <c r="L85" s="132"/>
      <c r="M85" s="132"/>
      <c r="N85" s="136"/>
      <c r="O85" s="115"/>
      <c r="P85" s="137" t="s">
        <v>323</v>
      </c>
    </row>
    <row r="86" spans="1:16" ht="15.75" thickBot="1" x14ac:dyDescent="0.3">
      <c r="J86" s="160" t="s">
        <v>333</v>
      </c>
      <c r="K86" s="161"/>
      <c r="L86" s="161"/>
      <c r="M86" s="161"/>
      <c r="N86" s="162"/>
      <c r="O86" s="86">
        <f>SUM(O3:O85)</f>
        <v>95.920290999999978</v>
      </c>
    </row>
    <row r="87" spans="1:16" ht="15.75" thickBot="1" x14ac:dyDescent="0.3">
      <c r="J87" s="163" t="s">
        <v>334</v>
      </c>
      <c r="K87" s="164"/>
      <c r="L87" s="164"/>
      <c r="M87" s="164"/>
      <c r="N87" s="165"/>
      <c r="O87" s="87">
        <v>35</v>
      </c>
    </row>
    <row r="88" spans="1:16" ht="19.5" thickBot="1" x14ac:dyDescent="0.35">
      <c r="C88" s="85" t="s">
        <v>330</v>
      </c>
      <c r="D88"/>
      <c r="E88"/>
      <c r="J88" s="163" t="s">
        <v>335</v>
      </c>
      <c r="K88" s="164"/>
      <c r="L88" s="164"/>
      <c r="M88" s="164"/>
      <c r="N88" s="165"/>
      <c r="O88" s="87">
        <v>70</v>
      </c>
    </row>
    <row r="89" spans="1:16" ht="15.75" thickBot="1" x14ac:dyDescent="0.3">
      <c r="C89" s="154" t="s">
        <v>332</v>
      </c>
      <c r="D89" s="155"/>
      <c r="E89" s="156"/>
      <c r="J89" s="163" t="s">
        <v>336</v>
      </c>
      <c r="K89" s="164"/>
      <c r="L89" s="164"/>
      <c r="M89" s="164"/>
      <c r="N89" s="165"/>
      <c r="O89" s="87">
        <f>SUM(O86:O88)</f>
        <v>200.92029099999996</v>
      </c>
    </row>
    <row r="90" spans="1:16" ht="15.75" thickBot="1" x14ac:dyDescent="0.3">
      <c r="C90" s="157" t="s">
        <v>331</v>
      </c>
      <c r="D90" s="158"/>
      <c r="E90" s="159"/>
    </row>
  </sheetData>
  <mergeCells count="16">
    <mergeCell ref="C89:E89"/>
    <mergeCell ref="C90:E90"/>
    <mergeCell ref="J86:N86"/>
    <mergeCell ref="J87:N87"/>
    <mergeCell ref="J88:N88"/>
    <mergeCell ref="J89:N89"/>
    <mergeCell ref="A1:P1"/>
    <mergeCell ref="B3:B17"/>
    <mergeCell ref="B18:B21"/>
    <mergeCell ref="B22:B24"/>
    <mergeCell ref="B25:B30"/>
    <mergeCell ref="B35:B58"/>
    <mergeCell ref="B59:B71"/>
    <mergeCell ref="B73:B85"/>
    <mergeCell ref="B31:B32"/>
    <mergeCell ref="B33:B34"/>
  </mergeCells>
  <hyperlinks>
    <hyperlink ref="M4" r:id="rId1"/>
    <hyperlink ref="M3" r:id="rId2"/>
    <hyperlink ref="M5" r:id="rId3"/>
    <hyperlink ref="M7" r:id="rId4"/>
    <hyperlink ref="M10" r:id="rId5"/>
    <hyperlink ref="M11" r:id="rId6"/>
    <hyperlink ref="M12" r:id="rId7"/>
    <hyperlink ref="M14" r:id="rId8"/>
    <hyperlink ref="M17" r:id="rId9"/>
    <hyperlink ref="M18" r:id="rId10"/>
    <hyperlink ref="M19" r:id="rId11"/>
    <hyperlink ref="M21" r:id="rId12"/>
    <hyperlink ref="M23" r:id="rId13"/>
    <hyperlink ref="M24" r:id="rId14"/>
    <hyperlink ref="M25" r:id="rId15"/>
    <hyperlink ref="M26" r:id="rId16"/>
    <hyperlink ref="M27" r:id="rId17"/>
    <hyperlink ref="M28" r:id="rId18"/>
    <hyperlink ref="M29" r:id="rId19"/>
    <hyperlink ref="M30" r:id="rId20"/>
    <hyperlink ref="M31" r:id="rId21"/>
    <hyperlink ref="M32" r:id="rId22"/>
    <hyperlink ref="M33" r:id="rId23"/>
    <hyperlink ref="M34" r:id="rId24"/>
    <hyperlink ref="M6" r:id="rId25"/>
    <hyperlink ref="M8" r:id="rId26"/>
    <hyperlink ref="M35" r:id="rId27"/>
    <hyperlink ref="M36" r:id="rId28"/>
    <hyperlink ref="M37" r:id="rId29"/>
    <hyperlink ref="M39" r:id="rId30"/>
    <hyperlink ref="M40" r:id="rId31"/>
    <hyperlink ref="M41" r:id="rId32"/>
    <hyperlink ref="M42" r:id="rId33"/>
    <hyperlink ref="M43" r:id="rId34"/>
    <hyperlink ref="M44" r:id="rId35"/>
    <hyperlink ref="M45" r:id="rId36"/>
    <hyperlink ref="M46" r:id="rId37"/>
    <hyperlink ref="M38" r:id="rId38"/>
    <hyperlink ref="M47" r:id="rId39"/>
    <hyperlink ref="M48" r:id="rId40"/>
    <hyperlink ref="M49" r:id="rId41"/>
    <hyperlink ref="M50" r:id="rId42"/>
    <hyperlink ref="M52" r:id="rId43"/>
    <hyperlink ref="M53" r:id="rId44"/>
    <hyperlink ref="M54" r:id="rId45"/>
    <hyperlink ref="M56" r:id="rId46"/>
    <hyperlink ref="M57" r:id="rId47"/>
    <hyperlink ref="M58" r:id="rId48"/>
    <hyperlink ref="M59" r:id="rId49"/>
    <hyperlink ref="M61" r:id="rId50"/>
    <hyperlink ref="M62" r:id="rId51"/>
    <hyperlink ref="M66" r:id="rId52"/>
    <hyperlink ref="M67" r:id="rId53"/>
    <hyperlink ref="M69" r:id="rId54"/>
    <hyperlink ref="M70" r:id="rId55"/>
    <hyperlink ref="M71" r:id="rId56"/>
    <hyperlink ref="M72" r:id="rId57"/>
    <hyperlink ref="M73" r:id="rId58"/>
    <hyperlink ref="M74" r:id="rId59"/>
    <hyperlink ref="M75" r:id="rId60"/>
    <hyperlink ref="M77" r:id="rId61"/>
    <hyperlink ref="M78" r:id="rId62"/>
    <hyperlink ref="M79" r:id="rId63"/>
    <hyperlink ref="M51" r:id="rId64"/>
    <hyperlink ref="M81" r:id="rId65"/>
    <hyperlink ref="M63" r:id="rId66"/>
    <hyperlink ref="M68" r:id="rId67"/>
    <hyperlink ref="M80" r:id="rId68"/>
    <hyperlink ref="M13" r:id="rId69"/>
    <hyperlink ref="M9" r:id="rId70"/>
    <hyperlink ref="M22" r:id="rId71"/>
    <hyperlink ref="M55" r:id="rId72"/>
    <hyperlink ref="M15" r:id="rId73"/>
    <hyperlink ref="M16" r:id="rId74"/>
    <hyperlink ref="M20" r:id="rId75"/>
    <hyperlink ref="M60" r:id="rId76"/>
  </hyperlinks>
  <pageMargins left="0.7" right="0.7" top="0.75" bottom="0.75" header="0.3" footer="0.3"/>
  <pageSetup orientation="portrait" r:id="rId7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eSpark</dc:creator>
  <cp:lastModifiedBy>Windows User</cp:lastModifiedBy>
  <dcterms:created xsi:type="dcterms:W3CDTF">2020-04-11T17:47:44Z</dcterms:created>
  <dcterms:modified xsi:type="dcterms:W3CDTF">2020-09-15T09:57:05Z</dcterms:modified>
</cp:coreProperties>
</file>