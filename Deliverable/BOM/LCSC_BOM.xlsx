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LCSC_BOM" sheetId="1" r:id="rId1"/>
  </sheets>
  <definedNames>
    <definedName name="_xlnm.Print_Titles" localSheetId="0">LCSC_BOM!#REF!</definedName>
  </definedNames>
  <calcPr calcId="144525"/>
</workbook>
</file>

<file path=xl/sharedStrings.xml><?xml version="1.0" encoding="utf-8"?>
<sst xmlns="http://schemas.openxmlformats.org/spreadsheetml/2006/main" count="671" uniqueCount="426">
  <si>
    <t>Bill of Material (BOM) for Grant</t>
  </si>
  <si>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</si>
  <si>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</si>
  <si>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</si>
  <si>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</si>
  <si>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</si>
  <si>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</si>
  <si>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</si>
  <si>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LCSC Part Number</t>
  </si>
  <si>
    <t>Alternate</t>
  </si>
  <si>
    <t>Value</t>
  </si>
  <si>
    <t>Unit Quantity</t>
  </si>
  <si>
    <t>Quantity(5)</t>
  </si>
  <si>
    <t>Quantity(50)</t>
  </si>
  <si>
    <t>Quantity(100)</t>
  </si>
  <si>
    <t>MOQ(5)</t>
  </si>
  <si>
    <t>MOQ(50)</t>
  </si>
  <si>
    <t>MOQ(100)</t>
  </si>
  <si>
    <t>Link</t>
  </si>
  <si>
    <t>Unit Price(5)</t>
  </si>
  <si>
    <t xml:space="preserve">Total Price </t>
  </si>
  <si>
    <t>Unit Price(50)</t>
  </si>
  <si>
    <t>Unit Price(100)</t>
  </si>
  <si>
    <t>Remarks</t>
  </si>
  <si>
    <t>Capacitor</t>
  </si>
  <si>
    <t>CAP ALUM 6.8UF 20% 25V SMD</t>
  </si>
  <si>
    <t>C1</t>
  </si>
  <si>
    <t>Custom</t>
  </si>
  <si>
    <t>EEEHB1E6R8R</t>
  </si>
  <si>
    <t>Panasonic</t>
  </si>
  <si>
    <t>C336258</t>
  </si>
  <si>
    <t>--------</t>
  </si>
  <si>
    <t>6.8uF</t>
  </si>
  <si>
    <t>LCSC</t>
  </si>
  <si>
    <t>CAP ALUM 10uF 25V SMD</t>
  </si>
  <si>
    <t>C2</t>
  </si>
  <si>
    <t>RVT1E100M0405</t>
  </si>
  <si>
    <t>ROQANG</t>
  </si>
  <si>
    <t>C72484</t>
  </si>
  <si>
    <t>10uF</t>
  </si>
  <si>
    <t xml:space="preserve">CAP CER 0.1UF 50V X7R 0402
</t>
  </si>
  <si>
    <t>C6, C10, C11, C12, C13, C14, C15, C18, C21, C24, C29, C30, CF2,C22, C25, C27, C35</t>
  </si>
  <si>
    <t>Cap 0402</t>
  </si>
  <si>
    <t>CC0402KRX7R7BB104</t>
  </si>
  <si>
    <t>Yageo</t>
  </si>
  <si>
    <t>C361198</t>
  </si>
  <si>
    <t>C1005X7R1H104KT000F</t>
  </si>
  <si>
    <t>0.1uF</t>
  </si>
  <si>
    <t>CAP CER 22UF 25V X5R 0805</t>
  </si>
  <si>
    <t>C7, CE1</t>
  </si>
  <si>
    <t>Cap0805</t>
  </si>
  <si>
    <t>GRM21BR61E226ME44L</t>
  </si>
  <si>
    <t>Murata</t>
  </si>
  <si>
    <t>C86816</t>
  </si>
  <si>
    <t>22uF</t>
  </si>
  <si>
    <t>1uF 10V ±20% 0805 Tantalum Capacitors ROHS</t>
  </si>
  <si>
    <t>C8, C19</t>
  </si>
  <si>
    <t>TCP1A105M8R</t>
  </si>
  <si>
    <t>ROHM</t>
  </si>
  <si>
    <t>C1952948</t>
  </si>
  <si>
    <t>1UF</t>
  </si>
  <si>
    <t>CAP CER 25PF 50V C0G/NPO 0603</t>
  </si>
  <si>
    <t>C9</t>
  </si>
  <si>
    <t>Cap 0603</t>
  </si>
  <si>
    <t>CC0603JRNPO9BN250</t>
  </si>
  <si>
    <t>YAGEO</t>
  </si>
  <si>
    <t>C282067</t>
  </si>
  <si>
    <t>25pF</t>
  </si>
  <si>
    <t>CAP CER 20PF 25V C0H 0201</t>
  </si>
  <si>
    <t>C16, C17, CX1, CX2</t>
  </si>
  <si>
    <t>Cap 0201</t>
  </si>
  <si>
    <t>GJM0336C1E200JB01D</t>
  </si>
  <si>
    <t>C426116</t>
  </si>
  <si>
    <t>GJM0335C1E200GB01D</t>
  </si>
  <si>
    <t>20pF</t>
  </si>
  <si>
    <t>CAP CER 0.022UF 100V X7R 0603</t>
  </si>
  <si>
    <t>C20</t>
  </si>
  <si>
    <t>CGA3E2X7R2A223K080AA</t>
  </si>
  <si>
    <t>TDK</t>
  </si>
  <si>
    <t>C313105</t>
  </si>
  <si>
    <t>CC0603KRX7R0BB223</t>
  </si>
  <si>
    <t>22nF</t>
  </si>
  <si>
    <t>CAP TANT 4.7UF 10% 35V 1411</t>
  </si>
  <si>
    <t>C23</t>
  </si>
  <si>
    <t>Cap 1411</t>
  </si>
  <si>
    <t>TAJB475K035RNJ</t>
  </si>
  <si>
    <t>Kyocera AVX</t>
  </si>
  <si>
    <t>C7206</t>
  </si>
  <si>
    <t>4.7UF</t>
  </si>
  <si>
    <t>CAP ALUM 100UF 20% 25V SMD</t>
  </si>
  <si>
    <t>C26</t>
  </si>
  <si>
    <t>UWX1E101MCL1GB</t>
  </si>
  <si>
    <t>Nichicon</t>
  </si>
  <si>
    <t>C134725</t>
  </si>
  <si>
    <t>VE-101M1ETR-0806</t>
  </si>
  <si>
    <t>100uF</t>
  </si>
  <si>
    <t>footprint is slightly different</t>
  </si>
  <si>
    <t>CAP CER 1UF 25V X5R 0402</t>
  </si>
  <si>
    <t>C28, C32</t>
  </si>
  <si>
    <t>GRM155R61E105KA12D</t>
  </si>
  <si>
    <t>C77009</t>
  </si>
  <si>
    <t>1uF</t>
  </si>
  <si>
    <t>CAP CER 4.7UF 25V X5R 0603</t>
  </si>
  <si>
    <t>C31, C34</t>
  </si>
  <si>
    <t>CL10A475KA8NQNC</t>
  </si>
  <si>
    <t>Samsung</t>
  </si>
  <si>
    <t>C69335</t>
  </si>
  <si>
    <t>4.7uF</t>
  </si>
  <si>
    <t>CAP CER 2.2UF 16V X5R 0402</t>
  </si>
  <si>
    <t>C33, CR1</t>
  </si>
  <si>
    <t>EMK105ABJ225KV-F</t>
  </si>
  <si>
    <t>Taiyo Yuden</t>
  </si>
  <si>
    <t>C385887</t>
  </si>
  <si>
    <t>2.2uF</t>
  </si>
  <si>
    <t>CAP TANT 0.33 uF 20 V ±20% 0402</t>
  </si>
  <si>
    <t>C50</t>
  </si>
  <si>
    <t>TCTU1D334M8R</t>
  </si>
  <si>
    <t>Rohm</t>
  </si>
  <si>
    <t>C209647</t>
  </si>
  <si>
    <t>330nF</t>
  </si>
  <si>
    <t>CAP CER 220PF 50V C0G/NPO 0402</t>
  </si>
  <si>
    <t>CF1</t>
  </si>
  <si>
    <t>CC0402JRNPO9BN221</t>
  </si>
  <si>
    <t>C107001</t>
  </si>
  <si>
    <t>220pF</t>
  </si>
  <si>
    <t>Diode</t>
  </si>
  <si>
    <t>DIODE SCHOTTKY 30V 2A PMDU</t>
  </si>
  <si>
    <t>D2</t>
  </si>
  <si>
    <t>SOD123F</t>
  </si>
  <si>
    <t>RB060M-30TR</t>
  </si>
  <si>
    <t>Rohm Semiconductor</t>
  </si>
  <si>
    <t>C559324</t>
  </si>
  <si>
    <t>----</t>
  </si>
  <si>
    <t>DIODE SCHOTTKY 30V 1A SOD123W</t>
  </si>
  <si>
    <t>D1, D3</t>
  </si>
  <si>
    <t>SOD123W</t>
  </si>
  <si>
    <t>PMEG3010ER,115</t>
  </si>
  <si>
    <t>Nexperia</t>
  </si>
  <si>
    <t>C146292</t>
  </si>
  <si>
    <t>CRS01(TE85L,Q,M)</t>
  </si>
  <si>
    <t>footprint is  different</t>
  </si>
  <si>
    <t xml:space="preserve">LED
</t>
  </si>
  <si>
    <t>Red 625nm 0402 Light Emitting Diodes (LED) RoHS</t>
  </si>
  <si>
    <t>LED1, LED2</t>
  </si>
  <si>
    <t>LED 0402</t>
  </si>
  <si>
    <t>TJ-S1005SW4TGLC2R-A5</t>
  </si>
  <si>
    <t>TOGIALED</t>
  </si>
  <si>
    <t>C273598</t>
  </si>
  <si>
    <t>Mosfet</t>
  </si>
  <si>
    <t>20V 1.6A 500mW 115mΩ@4.5V,1.6A 1.5V@250μA P Channel SOT-23 MOSFETs ROHS</t>
  </si>
  <si>
    <t>Q1</t>
  </si>
  <si>
    <t>SOT23-3</t>
  </si>
  <si>
    <t>FDN338P</t>
  </si>
  <si>
    <t>UMW</t>
  </si>
  <si>
    <t>C347511</t>
  </si>
  <si>
    <t>MOSFET P-CH 20V 2.8A SOT-23</t>
  </si>
  <si>
    <t>Q2</t>
  </si>
  <si>
    <t>PMV65XP,215</t>
  </si>
  <si>
    <t>C75561</t>
  </si>
  <si>
    <t>MOSFET N-CH 100V .1A SOT23-3</t>
  </si>
  <si>
    <t>Q3</t>
  </si>
  <si>
    <t>ZVN3310FTA</t>
  </si>
  <si>
    <t>Diodes Zetex</t>
  </si>
  <si>
    <t>C110533</t>
  </si>
  <si>
    <t>SOT-23 MOSFETs ROHS</t>
  </si>
  <si>
    <t>Q4</t>
  </si>
  <si>
    <t>FDN335N</t>
  </si>
  <si>
    <t>C347512</t>
  </si>
  <si>
    <t>TRANS PNP 60V 3A SOT223</t>
  </si>
  <si>
    <t>QF1</t>
  </si>
  <si>
    <t>SOT223</t>
  </si>
  <si>
    <t>NZT660A</t>
  </si>
  <si>
    <t>ON Semiconductor / Fairchild</t>
  </si>
  <si>
    <t>Utsource</t>
  </si>
  <si>
    <t>Switch</t>
  </si>
  <si>
    <t>SPDT 5A 120V On-On DIP Toggle Switches RoHS</t>
  </si>
  <si>
    <t>S1</t>
  </si>
  <si>
    <t>SS-12D11L5</t>
  </si>
  <si>
    <t>XKB Enterprise</t>
  </si>
  <si>
    <t>C319010</t>
  </si>
  <si>
    <t>SWITCH TACTILE SPST-NO 0.05A 12V</t>
  </si>
  <si>
    <t>SW1</t>
  </si>
  <si>
    <t>B3U-1000P</t>
  </si>
  <si>
    <t>Omron</t>
  </si>
  <si>
    <t>C231329</t>
  </si>
  <si>
    <t>Inductor</t>
  </si>
  <si>
    <t>10uH ±20% 1.6A 230mΩ SMD,4.75x4.2x2mm Inductors (SMD) RoHS</t>
  </si>
  <si>
    <t>LZ1</t>
  </si>
  <si>
    <t>MS0420-100M</t>
  </si>
  <si>
    <t>COILMX</t>
  </si>
  <si>
    <t>C380158</t>
  </si>
  <si>
    <t>Crystal</t>
  </si>
  <si>
    <t>CRYSTAL 32.7680KHZ 12.5PF SMD</t>
  </si>
  <si>
    <t>X1, X2</t>
  </si>
  <si>
    <t>NX3215SA-32.768K-STD-MUA-8</t>
  </si>
  <si>
    <t>NDK</t>
  </si>
  <si>
    <t>winsource</t>
  </si>
  <si>
    <t>Resistor</t>
  </si>
  <si>
    <t>470 ±5% 1/16W ±100ppm/°C 0402 Chip Resistor - Surface Mount RoHS</t>
  </si>
  <si>
    <t>R1</t>
  </si>
  <si>
    <t>Res0402</t>
  </si>
  <si>
    <t>RTT02471JTH</t>
  </si>
  <si>
    <t>RALEC</t>
  </si>
  <si>
    <t>C103058</t>
  </si>
  <si>
    <t>470R</t>
  </si>
  <si>
    <t>RES SMD 1.5K OHM 1% 1/20W 0201</t>
  </si>
  <si>
    <t>R2</t>
  </si>
  <si>
    <t>Res-0201</t>
  </si>
  <si>
    <t>RMCF0201FT1K50</t>
  </si>
  <si>
    <t>Stackpole Electronics</t>
  </si>
  <si>
    <t>C100153</t>
  </si>
  <si>
    <t>CR0201JH0152G</t>
  </si>
  <si>
    <t>1.5K</t>
  </si>
  <si>
    <t>RES SMD 20K OHM 5% 1/16W 0402</t>
  </si>
  <si>
    <t>R3, R4, R8, R9, R10, R20, RP2</t>
  </si>
  <si>
    <t>RC0402JR-0720KL</t>
  </si>
  <si>
    <t>C137902</t>
  </si>
  <si>
    <t>20K</t>
  </si>
  <si>
    <t>RES SMD 2K OHM 1% 1/16W 0402</t>
  </si>
  <si>
    <t>R5</t>
  </si>
  <si>
    <t>RC0402FR-072KL</t>
  </si>
  <si>
    <t>C60488</t>
  </si>
  <si>
    <t>2K</t>
  </si>
  <si>
    <t>RES SMD 80.6K OHM 1% 1/16W 0402</t>
  </si>
  <si>
    <t>R6</t>
  </si>
  <si>
    <t>AC0402FR-0780K6L</t>
  </si>
  <si>
    <t>C227238</t>
  </si>
  <si>
    <t>80.6K</t>
  </si>
  <si>
    <t>RES SMD 30.9K OHM 1% 1/16W 0402</t>
  </si>
  <si>
    <t>R7</t>
  </si>
  <si>
    <t>AC0402FR-0730K9L</t>
  </si>
  <si>
    <t>C226983</t>
  </si>
  <si>
    <t>30.9K</t>
  </si>
  <si>
    <t>RES 10K OHM 5% 1/10W 0402</t>
  </si>
  <si>
    <t>R11, R12, R15, R16, R17</t>
  </si>
  <si>
    <t>RK73B1ETTP103J</t>
  </si>
  <si>
    <t>KOA Speer</t>
  </si>
  <si>
    <t>C140214</t>
  </si>
  <si>
    <t>RC-02W103JT</t>
  </si>
  <si>
    <t>10K</t>
  </si>
  <si>
    <t>RES SMD 133K OHM 1% 1/16W 0402</t>
  </si>
  <si>
    <t>R13</t>
  </si>
  <si>
    <t>RC0402FR-07133KL</t>
  </si>
  <si>
    <t>C327374</t>
  </si>
  <si>
    <t>133K</t>
  </si>
  <si>
    <t>RES 49.9K OHM 1% 1/10W 0402</t>
  </si>
  <si>
    <t>R14</t>
  </si>
  <si>
    <t>RK73H1ETTP4992F</t>
  </si>
  <si>
    <t>C2692736</t>
  </si>
  <si>
    <t>PTFR0402B49K9P9</t>
  </si>
  <si>
    <t>49.9K</t>
  </si>
  <si>
    <t>RES SMD 0 OHM JUMPER 1/16W 0402</t>
  </si>
  <si>
    <t>R18, R19, RF22, RF23</t>
  </si>
  <si>
    <t>RC0402JR-070RL</t>
  </si>
  <si>
    <t>C60485</t>
  </si>
  <si>
    <t>0R</t>
  </si>
  <si>
    <t>4.7K ±5% 1/16W ±200ppm/°C 0402 Chip Resistor - Surface Mount RoHS</t>
  </si>
  <si>
    <t>R21, R22, R27</t>
  </si>
  <si>
    <t>CR0402JF0472G</t>
  </si>
  <si>
    <t>LIZ Elec</t>
  </si>
  <si>
    <t>C100658</t>
  </si>
  <si>
    <t>4.7K</t>
  </si>
  <si>
    <r>
      <rPr>
        <sz val="10"/>
        <rFont val="Calibri"/>
        <charset val="134"/>
      </rPr>
      <t>±1% 1/10W Thick Film Resistors 75V ±100ppm/</t>
    </r>
    <r>
      <rPr>
        <sz val="10"/>
        <rFont val="Times New Roman"/>
        <charset val="134"/>
      </rPr>
      <t>℃</t>
    </r>
    <r>
      <rPr>
        <sz val="10"/>
        <rFont val="Calibri"/>
        <charset val="134"/>
      </rPr>
      <t xml:space="preserve"> -55</t>
    </r>
    <r>
      <rPr>
        <sz val="10"/>
        <rFont val="Times New Roman"/>
        <charset val="134"/>
      </rPr>
      <t>℃</t>
    </r>
    <r>
      <rPr>
        <sz val="10"/>
        <rFont val="Calibri"/>
        <charset val="134"/>
      </rPr>
      <t>~+155</t>
    </r>
    <r>
      <rPr>
        <sz val="10"/>
        <rFont val="Times New Roman"/>
        <charset val="134"/>
      </rPr>
      <t>℃</t>
    </r>
    <r>
      <rPr>
        <sz val="10"/>
        <rFont val="Calibri"/>
        <charset val="134"/>
      </rPr>
      <t xml:space="preserve"> 910kΩ 0603 Chip Resistor - Surface Mount ROHS</t>
    </r>
  </si>
  <si>
    <t>R23</t>
  </si>
  <si>
    <t>Res0603</t>
  </si>
  <si>
    <t>0603WAF9103T5E</t>
  </si>
  <si>
    <t>UNI-ROYAL</t>
  </si>
  <si>
    <t>C23263</t>
  </si>
  <si>
    <t>910K</t>
  </si>
  <si>
    <t>RES SMD 47K OHM 1% 1/16W 0402</t>
  </si>
  <si>
    <t>R24, R25, RZ1</t>
  </si>
  <si>
    <t>RC0402FR-0747KL</t>
  </si>
  <si>
    <t>C93943</t>
  </si>
  <si>
    <t>47K</t>
  </si>
  <si>
    <t>RES SMD 1K OHM 5% 1/10W 0402</t>
  </si>
  <si>
    <t>R26, RF2</t>
  </si>
  <si>
    <t>ERJ-2GEJ102X</t>
  </si>
  <si>
    <t>C2759467</t>
  </si>
  <si>
    <t>HP02WAJ0102TCE</t>
  </si>
  <si>
    <t>1K</t>
  </si>
  <si>
    <t>0.068 ±1% 1/4W ±800ppm/°C 0805 Chip Resistor - Surface Mount RoHS</t>
  </si>
  <si>
    <t>RF1</t>
  </si>
  <si>
    <t>RES 0805</t>
  </si>
  <si>
    <t>0805W4F680MT5E</t>
  </si>
  <si>
    <t>UNI-ROYAL(Uniroyal Elec)</t>
  </si>
  <si>
    <t>C270861</t>
  </si>
  <si>
    <t>CS05W4F680MT5E</t>
  </si>
  <si>
    <t>0.068R</t>
  </si>
  <si>
    <t>Temp coefficient is change</t>
  </si>
  <si>
    <t>RES SMD 1M OHM 1% 1/16W 0402</t>
  </si>
  <si>
    <t>RF3, RF4</t>
  </si>
  <si>
    <t>RC0402FR-071ML</t>
  </si>
  <si>
    <t>C138033</t>
  </si>
  <si>
    <t>1M</t>
  </si>
  <si>
    <t>RES SMD 118K OHM 1% 1/16W 0402</t>
  </si>
  <si>
    <t>RF5</t>
  </si>
  <si>
    <t>AC0402FR-07118KL</t>
  </si>
  <si>
    <t>C144804</t>
  </si>
  <si>
    <t>118K</t>
  </si>
  <si>
    <t>RES SMD 13.3K OHM 1% 1/16W 0402</t>
  </si>
  <si>
    <t>RF6</t>
  </si>
  <si>
    <t>RC0402FR-0713K3L</t>
  </si>
  <si>
    <t>C274352</t>
  </si>
  <si>
    <t>13.3K</t>
  </si>
  <si>
    <t>RES SMD 60.4K OHM 1% 1/16W 0402</t>
  </si>
  <si>
    <t>RP1</t>
  </si>
  <si>
    <t>RC0402FR-0760K4L</t>
  </si>
  <si>
    <t>C327333</t>
  </si>
  <si>
    <t>60.4K</t>
  </si>
  <si>
    <t>RES SMD 62K OHM 1% 1/16W 0402</t>
  </si>
  <si>
    <t>RP3</t>
  </si>
  <si>
    <t>AC0402FR-0762KL</t>
  </si>
  <si>
    <t>C144742</t>
  </si>
  <si>
    <t>62K</t>
  </si>
  <si>
    <t>40.2K ±1% 1/16W ±100ppm/°C 0402 Chip Resistor - Surface Mount RoHS</t>
  </si>
  <si>
    <t>RP4</t>
  </si>
  <si>
    <t>RTT024022FTH</t>
  </si>
  <si>
    <t>C103027</t>
  </si>
  <si>
    <t>40.2K</t>
  </si>
  <si>
    <t>ICs</t>
  </si>
  <si>
    <t>IC REG LDO 3.3V 1A SOT223</t>
  </si>
  <si>
    <t>U1</t>
  </si>
  <si>
    <t>SPX3940AM3-L-3-3/TR</t>
  </si>
  <si>
    <t>Exar</t>
  </si>
  <si>
    <t>C48252</t>
  </si>
  <si>
    <t>TVS DIODE 5V 6.8V 6UDFN</t>
  </si>
  <si>
    <t>U2</t>
  </si>
  <si>
    <t>6UDFN</t>
  </si>
  <si>
    <t>SP3014-02UTG</t>
  </si>
  <si>
    <t>Littelfuse</t>
  </si>
  <si>
    <t>in stock=1 at LCSC</t>
  </si>
  <si>
    <t>IC VREF SHUNT 18V 0.5% SOT23</t>
  </si>
  <si>
    <t>U3</t>
  </si>
  <si>
    <t>TLV431BFTA</t>
  </si>
  <si>
    <t>Aliexpress</t>
  </si>
  <si>
    <t>IC COMPARATOR LP DUAL 8-SOIC</t>
  </si>
  <si>
    <t>U4</t>
  </si>
  <si>
    <t>8-SOIC</t>
  </si>
  <si>
    <t>LM393DT</t>
  </si>
  <si>
    <t>STMicroelectronics</t>
  </si>
  <si>
    <t>C32901</t>
  </si>
  <si>
    <t>IC MCU 32BIT 256KB FLASH 48TQFP</t>
  </si>
  <si>
    <t>U5</t>
  </si>
  <si>
    <t>48TQFP</t>
  </si>
  <si>
    <t>SAMD21G18A-AUT</t>
  </si>
  <si>
    <t>Microchip</t>
  </si>
  <si>
    <t>Part not Available</t>
  </si>
  <si>
    <t>IC AMP CLASS AB MONO 1W 8SOIC</t>
  </si>
  <si>
    <t>U6</t>
  </si>
  <si>
    <t>SOIC-8</t>
  </si>
  <si>
    <t>LM4890MX/NOPB</t>
  </si>
  <si>
    <t>Texas Instruments</t>
  </si>
  <si>
    <t>C117476</t>
  </si>
  <si>
    <t>IC MOTOR DRIVER DC 5.5V 16HTSSOP</t>
  </si>
  <si>
    <t>U7</t>
  </si>
  <si>
    <t>16HTSSOP</t>
  </si>
  <si>
    <t>DRV8876PWPR</t>
  </si>
  <si>
    <t>IC RTC CLK/CALENDAR I2C 8-SOIC</t>
  </si>
  <si>
    <t>U8</t>
  </si>
  <si>
    <t>MCP7940N-I/SN</t>
  </si>
  <si>
    <t>C51106</t>
  </si>
  <si>
    <t>IC LI-ION LDO CHARGE MGMT 8SOIC</t>
  </si>
  <si>
    <t>UF1</t>
  </si>
  <si>
    <t>BQ2057WSNTR</t>
  </si>
  <si>
    <t>C32756</t>
  </si>
  <si>
    <t>IC REG BOOST ADJ 2A SOT23-5</t>
  </si>
  <si>
    <t>UF2</t>
  </si>
  <si>
    <t>SOT23-5</t>
  </si>
  <si>
    <t>LMR62014XMF/NOPB</t>
  </si>
  <si>
    <t>TI National Semiconductor</t>
  </si>
  <si>
    <t>C55182</t>
  </si>
  <si>
    <t>Connector</t>
  </si>
  <si>
    <t>FPC Connector 0.5mm pitch 24pin 30pin TOP&amp;bottom conduction Zif Smt Lcd/epaper Fpc Ffc Connector</t>
  </si>
  <si>
    <t>J1</t>
  </si>
  <si>
    <t>8.02A0.024200</t>
  </si>
  <si>
    <t>Alibaba</t>
  </si>
  <si>
    <t>DC Power Receptacle Jack 2.5A 2.5mm 6.5mm SMD Power Connectors RoHS</t>
  </si>
  <si>
    <t>J2</t>
  </si>
  <si>
    <t>DC-005-5A-2.5-SMT</t>
  </si>
  <si>
    <t>C319133</t>
  </si>
  <si>
    <t>USB - Micro B Female USB 2 5 SMD USB Connectors RoHS</t>
  </si>
  <si>
    <t>J3</t>
  </si>
  <si>
    <t xml:space="preserve">920-E52A2021S10100
</t>
  </si>
  <si>
    <t xml:space="preserve">Jing Extension of the Electronic </t>
  </si>
  <si>
    <t>C10418</t>
  </si>
  <si>
    <t>CONN HEADER SMD 10POS 1.27MM</t>
  </si>
  <si>
    <t>J4</t>
  </si>
  <si>
    <t>20021121-00010C4LF</t>
  </si>
  <si>
    <t>Amphenol FCI</t>
  </si>
  <si>
    <t>C150517</t>
  </si>
  <si>
    <t>SMD Battery Holders, Clips &amp; Contacts RoHS</t>
  </si>
  <si>
    <t>J6</t>
  </si>
  <si>
    <t>CR1220-2</t>
  </si>
  <si>
    <t>Q&amp;J</t>
  </si>
  <si>
    <t>C70381</t>
  </si>
  <si>
    <t>P=5.0mm Screw terminal RoHS</t>
  </si>
  <si>
    <t>J7</t>
  </si>
  <si>
    <t>WJ301V-5.0-3P</t>
  </si>
  <si>
    <t>Ningbo Kangnex Elec</t>
  </si>
  <si>
    <t>C8483</t>
  </si>
  <si>
    <t>J8, J#1</t>
  </si>
  <si>
    <t>WJ301V-5.0-2P</t>
  </si>
  <si>
    <t>C8475</t>
  </si>
  <si>
    <t>2 PIN JST Connector</t>
  </si>
  <si>
    <t>P17</t>
  </si>
  <si>
    <t>2 Pin JST Connector</t>
  </si>
  <si>
    <t>BOOMELE</t>
  </si>
  <si>
    <t>C66603</t>
  </si>
  <si>
    <t>EH-2A</t>
  </si>
  <si>
    <t>CBL PLUG-OF-NAILS 10-PIN W/LEGS</t>
  </si>
  <si>
    <t>J5</t>
  </si>
  <si>
    <t>TC2050-IDC</t>
  </si>
  <si>
    <t>Tag-Connect</t>
  </si>
  <si>
    <t>-------------</t>
  </si>
  <si>
    <t>DO NOT Mount</t>
  </si>
  <si>
    <t>Wire Connecting Pad</t>
  </si>
  <si>
    <t>P1</t>
  </si>
  <si>
    <t>SMD PAD</t>
  </si>
  <si>
    <t>Solder Bridge ON</t>
  </si>
  <si>
    <t>SB2, SB3, SB14, SB15, SB16, SB17, SB18, SB19, SB20, SB_ZD1</t>
  </si>
  <si>
    <t>Solder Bridge</t>
  </si>
  <si>
    <t>Test Point ON</t>
  </si>
  <si>
    <t>P2, P12, P13, P14, P15, P16</t>
  </si>
  <si>
    <t>TEST POINT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</si>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</sst>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&quot;$&quot;#,##0.0000_);[Red]\(&quot;$&quot;#,##0.0000\)"/>
    <numFmt numFmtId="177" formatCode="&quot;$&quot;#,##0.0000_);[Red]\(&quot;$&quot;#,##0.0000\)"/>
    <numFmt numFmtId="42" formatCode="_(&quot;$&quot;* #,##0_);_(&quot;$&quot;* \(#,##0\);_(&quot;$&quot;* &quot;-&quot;_);_(@_)"/>
    <numFmt numFmtId="178" formatCode="_ * #,##0_ ;_ * \-#,##0_ ;_ * &quot;-&quot;_ ;_ @_ "/>
    <numFmt numFmtId="179" formatCode="_ * #,##0.00_ ;_ * \-#,##0.00_ ;_ * &quot;-&quot;??_ ;_ @_ "/>
    <numFmt numFmtId="180" formatCode="&quot;$&quot;#,##0.0000"/>
    <numFmt numFmtId="181" formatCode="_-[$$-409]* #,##0.00_ ;_-[$$-409]* \-#,##0.00\ ;_-[$$-409]* &quot;-&quot;??_ ;_-@_ "/>
  </numFmts>
  <fonts count="4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0"/>
      <color theme="0"/>
      <name val="Calibri"/>
      <charset val="134"/>
    </font>
    <font>
      <b/>
      <sz val="11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strike/>
      <sz val="10"/>
      <color rgb="FFFF0000"/>
      <name val="Calibri"/>
      <charset val="134"/>
    </font>
    <font>
      <strike/>
      <sz val="10"/>
      <color rgb="FFFF0000"/>
      <name val="Calibri"/>
      <charset val="134"/>
    </font>
    <font>
      <sz val="10"/>
      <color rgb="FF333333"/>
      <name val="Calibri"/>
      <charset val="134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</font>
    <font>
      <sz val="10"/>
      <color theme="1"/>
      <name val="Calibri"/>
      <charset val="134"/>
      <scheme val="minor"/>
    </font>
    <font>
      <u/>
      <sz val="10"/>
      <color rgb="FF800080"/>
      <name val="Calibri"/>
      <charset val="134"/>
    </font>
    <font>
      <u/>
      <sz val="11"/>
      <color rgb="FF0000FF"/>
      <name val="Calibri"/>
      <charset val="134"/>
      <scheme val="minor"/>
    </font>
    <font>
      <sz val="10"/>
      <color rgb="FFCC0000"/>
      <name val="Calibri"/>
      <charset val="134"/>
    </font>
    <font>
      <u/>
      <sz val="10"/>
      <color rgb="FF0000FF"/>
      <name val="Calibri"/>
      <charset val="134"/>
    </font>
    <font>
      <strike/>
      <sz val="10"/>
      <color rgb="FFFF0000"/>
      <name val="Calibri"/>
      <charset val="134"/>
      <scheme val="minor"/>
    </font>
    <font>
      <b/>
      <sz val="14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1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0" fillId="6" borderId="40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20" borderId="45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18" borderId="43" applyNumberForma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5" fillId="18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2" fillId="3" borderId="3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7" fillId="4" borderId="9" xfId="0" applyNumberFormat="1" applyFont="1" applyFill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6" xfId="0" applyNumberFormat="1" applyFont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NumberFormat="1" applyFont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2" fillId="4" borderId="12" xfId="0" applyNumberFormat="1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2" fillId="0" borderId="25" xfId="0" applyNumberFormat="1" applyFont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7" fillId="4" borderId="27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14" fillId="0" borderId="6" xfId="7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14" fillId="0" borderId="9" xfId="7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15" fillId="0" borderId="9" xfId="7" applyBorder="1" applyAlignment="1">
      <alignment horizontal="center" vertical="center"/>
    </xf>
    <xf numFmtId="177" fontId="10" fillId="0" borderId="0" xfId="0" applyNumberFormat="1" applyFont="1" applyBorder="1" applyAlignment="1">
      <alignment horizontal="center" vertical="center"/>
    </xf>
    <xf numFmtId="0" fontId="14" fillId="4" borderId="9" xfId="7" applyFont="1" applyFill="1" applyBorder="1" applyAlignment="1">
      <alignment horizontal="center" vertical="center"/>
    </xf>
    <xf numFmtId="177" fontId="7" fillId="4" borderId="9" xfId="0" applyNumberFormat="1" applyFont="1" applyFill="1" applyBorder="1" applyAlignment="1">
      <alignment horizontal="center" vertical="center"/>
    </xf>
    <xf numFmtId="177" fontId="10" fillId="4" borderId="0" xfId="0" applyNumberFormat="1" applyFont="1" applyFill="1" applyBorder="1" applyAlignment="1">
      <alignment horizontal="center" vertical="center"/>
    </xf>
    <xf numFmtId="0" fontId="14" fillId="0" borderId="12" xfId="7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15" fillId="0" borderId="6" xfId="7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4" fillId="0" borderId="16" xfId="7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0" fontId="14" fillId="0" borderId="18" xfId="7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0" fontId="14" fillId="0" borderId="21" xfId="7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4" fillId="4" borderId="12" xfId="7" applyFont="1" applyFill="1" applyBorder="1" applyAlignment="1">
      <alignment horizontal="center" vertical="center"/>
    </xf>
    <xf numFmtId="177" fontId="7" fillId="4" borderId="12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0" fontId="14" fillId="0" borderId="25" xfId="7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14" fillId="4" borderId="27" xfId="7" applyFont="1" applyFill="1" applyBorder="1" applyAlignment="1">
      <alignment horizontal="center" vertical="center"/>
    </xf>
    <xf numFmtId="177" fontId="7" fillId="4" borderId="27" xfId="0" applyNumberFormat="1" applyFont="1" applyFill="1" applyBorder="1" applyAlignment="1">
      <alignment horizontal="center" vertical="center"/>
    </xf>
    <xf numFmtId="177" fontId="16" fillId="4" borderId="30" xfId="0" applyNumberFormat="1" applyFont="1" applyFill="1" applyBorder="1" applyAlignment="1">
      <alignment horizontal="center" vertical="center"/>
    </xf>
    <xf numFmtId="0" fontId="17" fillId="4" borderId="9" xfId="7" applyFont="1" applyFill="1" applyBorder="1" applyAlignment="1">
      <alignment horizontal="center" vertical="center"/>
    </xf>
    <xf numFmtId="0" fontId="14" fillId="4" borderId="6" xfId="7" applyFont="1" applyFill="1" applyBorder="1" applyAlignment="1">
      <alignment horizontal="center" vertical="center"/>
    </xf>
    <xf numFmtId="177" fontId="7" fillId="4" borderId="6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180" fontId="18" fillId="4" borderId="9" xfId="0" applyNumberFormat="1" applyFont="1" applyFill="1" applyBorder="1" applyAlignment="1">
      <alignment horizontal="center" vertical="center"/>
    </xf>
    <xf numFmtId="0" fontId="18" fillId="4" borderId="9" xfId="0" applyNumberFormat="1" applyFont="1" applyFill="1" applyBorder="1" applyAlignment="1">
      <alignment horizontal="center" vertical="center"/>
    </xf>
    <xf numFmtId="180" fontId="18" fillId="4" borderId="16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8" fillId="4" borderId="16" xfId="0" applyNumberFormat="1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81" fontId="20" fillId="4" borderId="33" xfId="0" applyNumberFormat="1" applyFont="1" applyFill="1" applyBorder="1" applyAlignment="1">
      <alignment horizontal="center" vertical="center"/>
    </xf>
    <xf numFmtId="181" fontId="20" fillId="4" borderId="35" xfId="0" applyNumberFormat="1" applyFont="1" applyFill="1" applyBorder="1" applyAlignment="1">
      <alignment horizontal="center" vertical="center"/>
    </xf>
    <xf numFmtId="0" fontId="5" fillId="0" borderId="5" xfId="0" applyFont="1" applyBorder="1" applyAlignment="1" quotePrefix="1">
      <alignment horizontal="left" vertical="center"/>
    </xf>
    <xf numFmtId="0" fontId="5" fillId="0" borderId="6" xfId="0" applyFont="1" applyBorder="1" applyAlignment="1" quotePrefix="1">
      <alignment horizontal="center" vertical="center"/>
    </xf>
    <xf numFmtId="0" fontId="6" fillId="0" borderId="6" xfId="0" applyFont="1" applyBorder="1" applyAlignment="1" quotePrefix="1">
      <alignment horizontal="center" vertical="center"/>
    </xf>
    <xf numFmtId="0" fontId="7" fillId="0" borderId="6" xfId="0" applyFont="1" applyBorder="1" applyAlignment="1" quotePrefix="1">
      <alignment horizontal="center" vertical="center"/>
    </xf>
    <xf numFmtId="0" fontId="5" fillId="0" borderId="8" xfId="0" applyFont="1" applyBorder="1" applyAlignment="1" quotePrefix="1">
      <alignment horizontal="left" vertical="center"/>
    </xf>
    <xf numFmtId="0" fontId="5" fillId="0" borderId="9" xfId="0" applyFont="1" applyBorder="1" applyAlignment="1" quotePrefix="1">
      <alignment horizontal="center" vertical="center"/>
    </xf>
    <xf numFmtId="0" fontId="6" fillId="0" borderId="9" xfId="0" applyFont="1" applyBorder="1" applyAlignment="1" quotePrefix="1">
      <alignment horizontal="center" vertical="center"/>
    </xf>
    <xf numFmtId="0" fontId="7" fillId="0" borderId="9" xfId="0" applyFont="1" applyBorder="1" applyAlignment="1" quotePrefix="1">
      <alignment horizontal="center" vertical="center"/>
    </xf>
    <xf numFmtId="0" fontId="5" fillId="0" borderId="9" xfId="0" applyFont="1" applyBorder="1" applyAlignment="1" quotePrefix="1">
      <alignment horizontal="center" vertical="center" wrapText="1"/>
    </xf>
    <xf numFmtId="0" fontId="8" fillId="0" borderId="9" xfId="0" applyFont="1" applyBorder="1" applyAlignment="1" quotePrefix="1">
      <alignment horizontal="center" vertical="center"/>
    </xf>
    <xf numFmtId="0" fontId="9" fillId="0" borderId="9" xfId="0" applyFont="1" applyFill="1" applyBorder="1" applyAlignment="1" quotePrefix="1">
      <alignment horizontal="center" vertical="center"/>
    </xf>
    <xf numFmtId="0" fontId="5" fillId="4" borderId="8" xfId="0" applyFont="1" applyFill="1" applyBorder="1" applyAlignment="1" quotePrefix="1">
      <alignment horizontal="left" vertical="center"/>
    </xf>
    <xf numFmtId="0" fontId="5" fillId="4" borderId="9" xfId="0" applyFont="1" applyFill="1" applyBorder="1" applyAlignment="1" quotePrefix="1">
      <alignment horizontal="center" vertical="center"/>
    </xf>
    <xf numFmtId="0" fontId="6" fillId="4" borderId="9" xfId="0" applyFont="1" applyFill="1" applyBorder="1" applyAlignment="1" quotePrefix="1">
      <alignment horizontal="center" vertical="center"/>
    </xf>
    <xf numFmtId="0" fontId="9" fillId="4" borderId="9" xfId="0" applyFont="1" applyFill="1" applyBorder="1" applyAlignment="1" quotePrefix="1">
      <alignment horizontal="center" vertical="center"/>
    </xf>
    <xf numFmtId="0" fontId="7" fillId="4" borderId="9" xfId="0" applyFont="1" applyFill="1" applyBorder="1" applyAlignment="1" quotePrefix="1">
      <alignment horizontal="center" vertical="center"/>
    </xf>
    <xf numFmtId="0" fontId="5" fillId="0" borderId="11" xfId="0" applyFont="1" applyBorder="1" applyAlignment="1" quotePrefix="1">
      <alignment horizontal="left" vertical="center"/>
    </xf>
    <xf numFmtId="0" fontId="5" fillId="0" borderId="12" xfId="0" applyFont="1" applyBorder="1" applyAlignment="1" quotePrefix="1">
      <alignment horizontal="center" vertical="center"/>
    </xf>
    <xf numFmtId="0" fontId="7" fillId="0" borderId="12" xfId="0" applyFont="1" applyBorder="1" applyAlignment="1" quotePrefix="1">
      <alignment horizontal="center" vertical="center"/>
    </xf>
    <xf numFmtId="0" fontId="5" fillId="0" borderId="15" xfId="0" applyFont="1" applyBorder="1" applyAlignment="1" quotePrefix="1">
      <alignment horizontal="left" vertical="center"/>
    </xf>
    <xf numFmtId="0" fontId="5" fillId="0" borderId="16" xfId="0" applyFont="1" applyBorder="1" applyAlignment="1" quotePrefix="1">
      <alignment horizontal="center" vertical="center"/>
    </xf>
    <xf numFmtId="0" fontId="7" fillId="0" borderId="16" xfId="0" applyFont="1" applyBorder="1" applyAlignment="1" quotePrefix="1">
      <alignment horizontal="center" vertical="center"/>
    </xf>
    <xf numFmtId="0" fontId="9" fillId="2" borderId="16" xfId="0" applyFont="1" applyFill="1" applyBorder="1" applyAlignment="1" quotePrefix="1">
      <alignment horizontal="center" vertical="center"/>
    </xf>
    <xf numFmtId="0" fontId="5" fillId="0" borderId="17" xfId="0" applyFont="1" applyBorder="1" applyAlignment="1" quotePrefix="1">
      <alignment horizontal="left" vertical="center"/>
    </xf>
    <xf numFmtId="0" fontId="5" fillId="0" borderId="18" xfId="0" applyFont="1" applyBorder="1" applyAlignment="1" quotePrefix="1">
      <alignment horizontal="center" vertical="center"/>
    </xf>
    <xf numFmtId="0" fontId="7" fillId="0" borderId="18" xfId="0" applyFont="1" applyBorder="1" applyAlignment="1" quotePrefix="1">
      <alignment horizontal="center" vertical="center"/>
    </xf>
    <xf numFmtId="0" fontId="5" fillId="0" borderId="20" xfId="0" applyFont="1" applyBorder="1" applyAlignment="1" quotePrefix="1">
      <alignment horizontal="left" vertical="center" wrapText="1"/>
    </xf>
    <xf numFmtId="0" fontId="5" fillId="0" borderId="21" xfId="0" applyFont="1" applyBorder="1" applyAlignment="1" quotePrefix="1">
      <alignment horizontal="center" vertical="center"/>
    </xf>
    <xf numFmtId="0" fontId="7" fillId="0" borderId="21" xfId="0" applyFont="1" applyBorder="1" applyAlignment="1" quotePrefix="1">
      <alignment horizontal="center" vertical="center"/>
    </xf>
    <xf numFmtId="0" fontId="7" fillId="0" borderId="21" xfId="0" applyFont="1" applyFill="1" applyBorder="1" applyAlignment="1" quotePrefix="1">
      <alignment horizontal="center" vertical="center"/>
    </xf>
    <xf numFmtId="0" fontId="5" fillId="4" borderId="11" xfId="0" applyFont="1" applyFill="1" applyBorder="1" applyAlignment="1" quotePrefix="1">
      <alignment horizontal="left" vertical="center"/>
    </xf>
    <xf numFmtId="0" fontId="5" fillId="4" borderId="12" xfId="0" applyFont="1" applyFill="1" applyBorder="1" applyAlignment="1" quotePrefix="1">
      <alignment horizontal="center" vertical="center"/>
    </xf>
    <xf numFmtId="0" fontId="6" fillId="4" borderId="12" xfId="0" applyFont="1" applyFill="1" applyBorder="1" applyAlignment="1" quotePrefix="1">
      <alignment horizontal="center" vertical="center"/>
    </xf>
    <xf numFmtId="0" fontId="7" fillId="4" borderId="12" xfId="0" applyFont="1" applyFill="1" applyBorder="1" applyAlignment="1" quotePrefix="1">
      <alignment horizontal="center" vertical="center"/>
    </xf>
    <xf numFmtId="0" fontId="6" fillId="0" borderId="16" xfId="0" applyFont="1" applyBorder="1" applyAlignment="1" quotePrefix="1">
      <alignment horizontal="center" vertical="center"/>
    </xf>
    <xf numFmtId="0" fontId="5" fillId="0" borderId="24" xfId="0" applyFont="1" applyBorder="1" applyAlignment="1" quotePrefix="1">
      <alignment horizontal="left" vertical="center"/>
    </xf>
    <xf numFmtId="0" fontId="5" fillId="0" borderId="25" xfId="0" applyFont="1" applyBorder="1" applyAlignment="1" quotePrefix="1">
      <alignment horizontal="center" vertical="center"/>
    </xf>
    <xf numFmtId="0" fontId="6" fillId="0" borderId="25" xfId="0" applyFont="1" applyBorder="1" applyAlignment="1" quotePrefix="1">
      <alignment horizontal="center" vertical="center"/>
    </xf>
    <xf numFmtId="0" fontId="7" fillId="0" borderId="25" xfId="0" applyFont="1" applyBorder="1" applyAlignment="1" quotePrefix="1">
      <alignment horizontal="center" vertical="center"/>
    </xf>
    <xf numFmtId="0" fontId="5" fillId="4" borderId="26" xfId="0" applyFont="1" applyFill="1" applyBorder="1" applyAlignment="1" quotePrefix="1">
      <alignment horizontal="left" vertical="center"/>
    </xf>
    <xf numFmtId="0" fontId="5" fillId="4" borderId="27" xfId="0" applyFont="1" applyFill="1" applyBorder="1" applyAlignment="1" quotePrefix="1">
      <alignment horizontal="center" vertical="center"/>
    </xf>
    <xf numFmtId="0" fontId="6" fillId="4" borderId="27" xfId="0" applyFont="1" applyFill="1" applyBorder="1" applyAlignment="1" quotePrefix="1">
      <alignment horizontal="center" vertical="center"/>
    </xf>
    <xf numFmtId="0" fontId="7" fillId="4" borderId="27" xfId="0" applyFont="1" applyFill="1" applyBorder="1" applyAlignment="1" quotePrefix="1">
      <alignment horizontal="center" vertical="center"/>
    </xf>
    <xf numFmtId="0" fontId="9" fillId="0" borderId="9" xfId="0" applyFont="1" applyBorder="1" applyAlignment="1" quotePrefix="1">
      <alignment horizontal="center" vertical="center"/>
    </xf>
    <xf numFmtId="0" fontId="5" fillId="0" borderId="8" xfId="0" applyFont="1" applyBorder="1" applyAlignment="1" quotePrefix="1">
      <alignment horizontal="left" vertical="center" wrapText="1"/>
    </xf>
    <xf numFmtId="0" fontId="6" fillId="0" borderId="28" xfId="0" applyFont="1" applyBorder="1" applyAlignment="1" quotePrefix="1">
      <alignment horizontal="center" vertical="center"/>
    </xf>
    <xf numFmtId="0" fontId="7" fillId="4" borderId="5" xfId="0" applyFont="1" applyFill="1" applyBorder="1" applyAlignment="1" quotePrefix="1">
      <alignment horizontal="left" vertical="center" wrapText="1"/>
    </xf>
    <xf numFmtId="0" fontId="7" fillId="4" borderId="6" xfId="0" applyFont="1" applyFill="1" applyBorder="1" applyAlignment="1" quotePrefix="1">
      <alignment horizontal="center" vertical="center"/>
    </xf>
    <xf numFmtId="0" fontId="6" fillId="4" borderId="6" xfId="0" applyFont="1" applyFill="1" applyBorder="1" applyAlignment="1" quotePrefix="1">
      <alignment horizontal="center" vertical="center"/>
    </xf>
    <xf numFmtId="0" fontId="7" fillId="0" borderId="8" xfId="0" applyFont="1" applyBorder="1" applyAlignment="1" quotePrefix="1">
      <alignment horizontal="left" vertical="center"/>
    </xf>
    <xf numFmtId="0" fontId="8" fillId="4" borderId="8" xfId="0" applyFont="1" applyFill="1" applyBorder="1" applyAlignment="1" quotePrefix="1">
      <alignment horizontal="left" vertical="center"/>
    </xf>
    <xf numFmtId="0" fontId="8" fillId="4" borderId="9" xfId="0" applyFont="1" applyFill="1" applyBorder="1" applyAlignment="1" quotePrefix="1">
      <alignment horizontal="center" vertical="center"/>
    </xf>
    <xf numFmtId="0" fontId="8" fillId="4" borderId="15" xfId="0" applyFont="1" applyFill="1" applyBorder="1" applyAlignment="1" quotePrefix="1">
      <alignment horizontal="left" vertical="center"/>
    </xf>
    <xf numFmtId="0" fontId="8" fillId="4" borderId="16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csc.com/product-detail/Multilayer-Ceramic-Capacitors-MLCC-SMD-SMT_Taiyo-Yuden-EMK105ABJ225KV-F_C385887.html" TargetMode="External"/><Relationship Id="rId8" Type="http://schemas.openxmlformats.org/officeDocument/2006/relationships/hyperlink" Target="https://lcsc.com/product-detail/Multilayer-Ceramic-Capacitors-MLCC-SMD-SMT_Samsung-Electro-Mechanics-CL10A475KA8NQNC_C69335.html" TargetMode="External"/><Relationship Id="rId7" Type="http://schemas.openxmlformats.org/officeDocument/2006/relationships/hyperlink" Target="https://lcsc.com/product-detail/Multilayer-Ceramic-Capacitors-MLCC-SMD-SMT_Murata-Electronics-GRM155R61E105KA12D_C77009.html" TargetMode="External"/><Relationship Id="rId65" Type="http://schemas.openxmlformats.org/officeDocument/2006/relationships/hyperlink" Target="https://lcsc.com/product-detail/Schottky-Barrier-Diodes-SBD_ROHM-Semicon-RB060M-30TR_C559324.html" TargetMode="External"/><Relationship Id="rId64" Type="http://schemas.openxmlformats.org/officeDocument/2006/relationships/hyperlink" Target="https://lcsc.com/product-detail/Multilayer-Ceramic-Capacitors-MLCC-SMD-SMT_TDK-C1005X7R1H104KT000F_C361198.html" TargetMode="External"/><Relationship Id="rId63" Type="http://schemas.openxmlformats.org/officeDocument/2006/relationships/hyperlink" Target="https://lcsc.com/product-detail/Multilayer-Ceramic-Capacitors-MLCC-SMD-SMT_YAGEO-CC0603KRX7R0BB223_C313105.html" TargetMode="External"/><Relationship Id="rId62" Type="http://schemas.openxmlformats.org/officeDocument/2006/relationships/hyperlink" Target="https://www.win-source.net/crystals-nx3215sa-32.768k-std-mua-8.html" TargetMode="External"/><Relationship Id="rId61" Type="http://schemas.openxmlformats.org/officeDocument/2006/relationships/hyperlink" Target="https://lcsc.com/product-detail/Schottky-Barrier-Diodes-SBD_TOSHIBA-CRS01-TE85L-Q-M_C146292.html" TargetMode="External"/><Relationship Id="rId60" Type="http://schemas.openxmlformats.org/officeDocument/2006/relationships/hyperlink" Target="https://lcsc.com/product-detail/Wire-To-Board-Wire-To-Wire-Connector_BOOMELE-Boom-Precision-Elec-EH-2A_C66603.html" TargetMode="External"/><Relationship Id="rId6" Type="http://schemas.openxmlformats.org/officeDocument/2006/relationships/hyperlink" Target="https://lcsc.com/product-detail/Tantalum-Capacitors_AVX-TAJB475K035RNJ_C7206.html" TargetMode="External"/><Relationship Id="rId59" Type="http://schemas.openxmlformats.org/officeDocument/2006/relationships/hyperlink" Target="https://www.alibaba.com/product-detail/FPC-Connector-0-5mm-pitch-24pin_1600228276659.html" TargetMode="External"/><Relationship Id="rId58" Type="http://schemas.openxmlformats.org/officeDocument/2006/relationships/hyperlink" Target="https://pt.aliexpress.com/item/1005002673440755.html?spm=a2g0o.productlist.0.0.560452b9lcvMdc&amp;algo_pvid=76ca1be7-685b-41a2-8d60-c271f38d24fd&amp;algo_exp_id=76ca1be7-685b-41a2-8d60-c271f38d24fd-0&amp;pdp_ext_f=%7B%22sku_id%22%3A%2212000021651456792%22%7D&amp;pdp_pi=-" TargetMode="External"/><Relationship Id="rId57" Type="http://schemas.openxmlformats.org/officeDocument/2006/relationships/hyperlink" Target="https://pt.aliexpress.com/item/1005002675489873.html?spm=a2g0o.productlist.0.0.4ab021a2DIs1yU&amp;algo_pvid=b9e84140-8952-46f8-9655-7bc69a6d3621&amp;algo_exp_id=b9e84140-8952-46f8-9655-7bc69a6d3621-0&amp;pdp_ext_f=%7B%22sku_id%22%3A%2212000021660656154%22%7D&amp;pdp_pi=-" TargetMode="External"/><Relationship Id="rId56" Type="http://schemas.openxmlformats.org/officeDocument/2006/relationships/hyperlink" Target="https://www.win-source.net/littelfuse-inc.-sp3014-02utg.html" TargetMode="External"/><Relationship Id="rId55" Type="http://schemas.openxmlformats.org/officeDocument/2006/relationships/hyperlink" Target="https://lcsc.com/product-detail/Current-Sense-Resistors-Shunt-Resistors_UNI-ROYAL-Uniroyal-Elec-CS05W4F680MT5E_C270861.html" TargetMode="External"/><Relationship Id="rId54" Type="http://schemas.openxmlformats.org/officeDocument/2006/relationships/hyperlink" Target="https://lcsc.com/product-detail/Chip-Resistor-Surface-Mount_UNI-ROYAL-Uniroyal-Elec-HP02WAJ0102TCE_C2759467.html" TargetMode="External"/><Relationship Id="rId53" Type="http://schemas.openxmlformats.org/officeDocument/2006/relationships/hyperlink" Target="https://lcsc.com/product-detail/Chip-Resistor-Surface-Mount_Resistor-Today-PTFR0402B49K9P9_C2692736.html" TargetMode="External"/><Relationship Id="rId52" Type="http://schemas.openxmlformats.org/officeDocument/2006/relationships/hyperlink" Target="https://lcsc.com/product-detail/Chip-Resistor-Surface-Mount_FH-Guangdong-Fenghua-Advanced-Tech-RC-02W103JT_C140214.html" TargetMode="External"/><Relationship Id="rId51" Type="http://schemas.openxmlformats.org/officeDocument/2006/relationships/hyperlink" Target="https://lcsc.com/product-detail/Chip-Resistor-Surface-Mount_LIZ-Elec-CR0201JH0152G_C100153.html" TargetMode="External"/><Relationship Id="rId50" Type="http://schemas.openxmlformats.org/officeDocument/2006/relationships/hyperlink" Target="https://lcsc.com/product-detail/Aluminum-Electrolytic-Capacitors-SMD_Lelon-VE-101M1ETR-0806_C134725.html" TargetMode="External"/><Relationship Id="rId5" Type="http://schemas.openxmlformats.org/officeDocument/2006/relationships/hyperlink" Target="https://lcsc.com/product-detail/Multilayer-Ceramic-Capacitors-MLCC-SMD-SMT_YAGEO-CC0603JRNPO9BN250_C282067.html" TargetMode="External"/><Relationship Id="rId49" Type="http://schemas.openxmlformats.org/officeDocument/2006/relationships/hyperlink" Target="https://www.utsource.net/itm/p/11294386.html" TargetMode="External"/><Relationship Id="rId48" Type="http://schemas.openxmlformats.org/officeDocument/2006/relationships/hyperlink" Target="https://lcsc.com/product-detail/MOSFETs_UMW-Youtai-Semiconductor-Co-Ltd-FDN338P_C347511.html" TargetMode="External"/><Relationship Id="rId47" Type="http://schemas.openxmlformats.org/officeDocument/2006/relationships/hyperlink" Target="https://lcsc.com/product-detail/Multilayer-Ceramic-Capacitors-MLCC-SMD-SMT_Murata-Electronics-GJM0335C1E200GB01D_C426116.html" TargetMode="External"/><Relationship Id="rId46" Type="http://schemas.openxmlformats.org/officeDocument/2006/relationships/hyperlink" Target="https://lcsc.com/product-detail/Screw-terminal_Ningbo-Kangnex-Elec-WJ301V-5-0-2P_C8475.html" TargetMode="External"/><Relationship Id="rId45" Type="http://schemas.openxmlformats.org/officeDocument/2006/relationships/hyperlink" Target="https://lcsc.com/product-detail/Screw-terminal_Ningbo-Kangnex-Elec-WJ301V-5-0-3P_C8483.html" TargetMode="External"/><Relationship Id="rId44" Type="http://schemas.openxmlformats.org/officeDocument/2006/relationships/hyperlink" Target="https://lcsc.com/product-detail/Battery-Connectors_Q-J-CR1220-2_C70381.html" TargetMode="External"/><Relationship Id="rId43" Type="http://schemas.openxmlformats.org/officeDocument/2006/relationships/hyperlink" Target="https://lcsc.com/product-detail/Pin-Headers_Amphenol-ICC-20021121-00010C4LF_C150517.html" TargetMode="External"/><Relationship Id="rId42" Type="http://schemas.openxmlformats.org/officeDocument/2006/relationships/hyperlink" Target="https://lcsc.com/product-detail/USB-Connectors_Jing-Extension-of-the-Electronic-Co-920-E52A2021S10100_C10418.html" TargetMode="External"/><Relationship Id="rId41" Type="http://schemas.openxmlformats.org/officeDocument/2006/relationships/hyperlink" Target="https://lcsc.com/product-detail/AC-DC-Power-Connectors_XKB-Connectivity-DC-005-5A-2-5-SMT_C319133.html" TargetMode="External"/><Relationship Id="rId40" Type="http://schemas.openxmlformats.org/officeDocument/2006/relationships/hyperlink" Target="https://lcsc.com/product-detail/DC-DC-Converters_Texas-Instruments-LMR62014XMF-NOPB_C55182.html" TargetMode="External"/><Relationship Id="rId4" Type="http://schemas.openxmlformats.org/officeDocument/2006/relationships/hyperlink" Target="https://lcsc.com/product-detail/Tantalum-Capacitors_ROHM-Semicon-TCP1A105M8R_C1952948.html" TargetMode="External"/><Relationship Id="rId39" Type="http://schemas.openxmlformats.org/officeDocument/2006/relationships/hyperlink" Target="https://lcsc.com/product-detail/Battery-Management-ICs_Texas-Instruments-BQ2057WSNTR_C32756.html" TargetMode="External"/><Relationship Id="rId38" Type="http://schemas.openxmlformats.org/officeDocument/2006/relationships/hyperlink" Target="https://lcsc.com/product-detail/Real-time-Clocks-RTC_Microchip-Tech-MCP7940N-I-SN_C51106.html" TargetMode="External"/><Relationship Id="rId37" Type="http://schemas.openxmlformats.org/officeDocument/2006/relationships/hyperlink" Target="https://lcsc.com/product-detail/Audio-Power-OpAmps_Texas-Instruments-LM4890MX-NOPB_C117476.html" TargetMode="External"/><Relationship Id="rId36" Type="http://schemas.openxmlformats.org/officeDocument/2006/relationships/hyperlink" Target="https://lcsc.com/product-detail/Comparators_STMicroelectronics-LM393DT_C32901.html" TargetMode="External"/><Relationship Id="rId35" Type="http://schemas.openxmlformats.org/officeDocument/2006/relationships/hyperlink" Target="https://lcsc.com/product-detail/Linear-Voltage-Regulators-LDO_MaxLinear-SPX3940AM3-L-3-3-TR_C48252.html" TargetMode="External"/><Relationship Id="rId34" Type="http://schemas.openxmlformats.org/officeDocument/2006/relationships/hyperlink" Target="https://lcsc.com/product-detail/Chip-Resistor-Surface-Mount_RALEC-RTT024022FTH_C103027.html" TargetMode="External"/><Relationship Id="rId33" Type="http://schemas.openxmlformats.org/officeDocument/2006/relationships/hyperlink" Target="https://lcsc.com/product-detail/Chip-Resistor-Surface-Mount_YAGEO-AC0402FR-0762KL_C144742.html" TargetMode="External"/><Relationship Id="rId32" Type="http://schemas.openxmlformats.org/officeDocument/2006/relationships/hyperlink" Target="https://lcsc.com/product-detail/Chip-Resistor-Surface-Mount_YAGEO-RC0402FR-0760K4L_C327333.html" TargetMode="External"/><Relationship Id="rId31" Type="http://schemas.openxmlformats.org/officeDocument/2006/relationships/hyperlink" Target="https://lcsc.com/product-detail/Chip-Resistor-Surface-Mount_YAGEO-RC0402FR-0713K3L_C274352.html" TargetMode="External"/><Relationship Id="rId30" Type="http://schemas.openxmlformats.org/officeDocument/2006/relationships/hyperlink" Target="https://lcsc.com/product-detail/Chip-Resistor-Surface-Mount_YAGEO-AC0402FR-07118KL_C144804.html" TargetMode="External"/><Relationship Id="rId3" Type="http://schemas.openxmlformats.org/officeDocument/2006/relationships/hyperlink" Target="https://lcsc.com/product-detail/Multilayer-Ceramic-Capacitors-MLCC-SMD-SMT_Murata-Electronics-GRM21BR61E226ME44L_C86816.html" TargetMode="External"/><Relationship Id="rId29" Type="http://schemas.openxmlformats.org/officeDocument/2006/relationships/hyperlink" Target="https://lcsc.com/product-detail/Chip-Resistor-Surface-Mount_YAGEO-RC0402FR-071ML_C138033.html" TargetMode="External"/><Relationship Id="rId28" Type="http://schemas.openxmlformats.org/officeDocument/2006/relationships/hyperlink" Target="https://lcsc.com/product-detail/Chip-Resistor-Surface-Mount_YAGEO-RC0402FR-0747KL_C93943.html" TargetMode="External"/><Relationship Id="rId27" Type="http://schemas.openxmlformats.org/officeDocument/2006/relationships/hyperlink" Target="https://lcsc.com/product-detail/Chip-Resistor-Surface-Mount_UNI-ROYAL-Uniroyal-Elec-0603WAF9103T5E_C23263.html" TargetMode="External"/><Relationship Id="rId26" Type="http://schemas.openxmlformats.org/officeDocument/2006/relationships/hyperlink" Target="https://lcsc.com/product-detail/Chip-Resistor-Surface-Mount_LIZ-Elec-CR0402JF0472G_C100658.html" TargetMode="External"/><Relationship Id="rId25" Type="http://schemas.openxmlformats.org/officeDocument/2006/relationships/hyperlink" Target="https://lcsc.com/product-detail/Chip-Resistor-Surface-Mount_YAGEO-RC0402JR-070RL_C60485.html" TargetMode="External"/><Relationship Id="rId24" Type="http://schemas.openxmlformats.org/officeDocument/2006/relationships/hyperlink" Target="https://lcsc.com/product-detail/Chip-Resistor-Surface-Mount_YAGEO-RC0402FR-07133KL_C327374.html" TargetMode="External"/><Relationship Id="rId23" Type="http://schemas.openxmlformats.org/officeDocument/2006/relationships/hyperlink" Target="https://lcsc.com/product-detail/Chip-Resistor-Surface-Mount_YAGEO-AC0402FR-0730K9L_C226983.html" TargetMode="External"/><Relationship Id="rId22" Type="http://schemas.openxmlformats.org/officeDocument/2006/relationships/hyperlink" Target="https://lcsc.com/product-detail/Chip-Resistor-Surface-Mount_YAGEO-AC0402FR-0780K6L_C227238.html" TargetMode="External"/><Relationship Id="rId21" Type="http://schemas.openxmlformats.org/officeDocument/2006/relationships/hyperlink" Target="https://lcsc.com/product-detail/Chip-Resistor-Surface-Mount_YAGEO-RC0402FR-072KL_C60488.html" TargetMode="External"/><Relationship Id="rId20" Type="http://schemas.openxmlformats.org/officeDocument/2006/relationships/hyperlink" Target="https://lcsc.com/product-detail/Chip-Resistor-Surface-Mount_YAGEO-RC0402JR-0720KL_C137902.html" TargetMode="External"/><Relationship Id="rId2" Type="http://schemas.openxmlformats.org/officeDocument/2006/relationships/hyperlink" Target="https://lcsc.com/product-detail/Aluminum-Electrolytic-Capacitors-SMD_ROQANG-RVT1E100M0405_C72484.html" TargetMode="External"/><Relationship Id="rId19" Type="http://schemas.openxmlformats.org/officeDocument/2006/relationships/hyperlink" Target="https://lcsc.com/product-detail/Chip-Resistor-Surface-Mount_RALEC-RTT02471JTH_C103058.html" TargetMode="External"/><Relationship Id="rId18" Type="http://schemas.openxmlformats.org/officeDocument/2006/relationships/hyperlink" Target="https://lcsc.com/product-detail/Power-Inductors_COILMX-MS0420-100M_C380158.html" TargetMode="External"/><Relationship Id="rId17" Type="http://schemas.openxmlformats.org/officeDocument/2006/relationships/hyperlink" Target="https://lcsc.com/product-detail/Tactile-Switches_Omron-Electronics-B3U-1000P_C231329.html" TargetMode="External"/><Relationship Id="rId16" Type="http://schemas.openxmlformats.org/officeDocument/2006/relationships/hyperlink" Target="https://lcsc.com/product-detail/Slide-Switches_XKB-Connectivity-SS-12D11L5_C319010.html" TargetMode="External"/><Relationship Id="rId15" Type="http://schemas.openxmlformats.org/officeDocument/2006/relationships/hyperlink" Target="https://lcsc.com/product-detail/MOSFETs_UMW-Youtai-Semiconductor-Co-Ltd-FDN335N_C347512.html" TargetMode="External"/><Relationship Id="rId14" Type="http://schemas.openxmlformats.org/officeDocument/2006/relationships/hyperlink" Target="https://lcsc.com/product-detail/MOSFETs_Diodes-Incorporated-ZVN3310FTA_C110533.html" TargetMode="External"/><Relationship Id="rId13" Type="http://schemas.openxmlformats.org/officeDocument/2006/relationships/hyperlink" Target="https://lcsc.com/product-detail/MOSFETs_Nexperia-PMV65XP-215_C75561.html" TargetMode="External"/><Relationship Id="rId12" Type="http://schemas.openxmlformats.org/officeDocument/2006/relationships/hyperlink" Target="https://lcsc.com/product-detail/Light-Emitting-Diodes-LED_TOGIALED-TJ-S1005SW4TGLC2R-A5_C273598.html" TargetMode="External"/><Relationship Id="rId11" Type="http://schemas.openxmlformats.org/officeDocument/2006/relationships/hyperlink" Target="https://lcsc.com/product-detail/Multilayer-Ceramic-Capacitors-MLCC-SMD-SMT_YAGEO-CC0402JRNPO9BN221_C107001.html" TargetMode="External"/><Relationship Id="rId10" Type="http://schemas.openxmlformats.org/officeDocument/2006/relationships/hyperlink" Target="https://lcsc.com/product-detail/Tantalum-Capacitors_ROHM-Semicon-TCTU1D334M8R_C209647.html" TargetMode="External"/><Relationship Id="rId1" Type="http://schemas.openxmlformats.org/officeDocument/2006/relationships/hyperlink" Target="https://lcsc.com/product-detail/Aluminum-Electrolytic-Capacitors-SMD_PANASONIC-EEEHB1E6R8R_C3362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74"/>
  <sheetViews>
    <sheetView tabSelected="1" zoomScale="58" zoomScaleNormal="58" topLeftCell="B1" workbookViewId="0">
      <selection activeCell="C22" sqref="C22"/>
    </sheetView>
  </sheetViews>
  <sheetFormatPr defaultColWidth="9.14285714285714" defaultRowHeight="15"/>
  <cols>
    <col min="1" max="1" width="6.14285714285714" style="4" customWidth="1"/>
    <col min="2" max="2" width="19.7142857142857" style="4" customWidth="1"/>
    <col min="3" max="3" width="59" style="4" customWidth="1"/>
    <col min="4" max="4" width="54.1428571428571" style="4" customWidth="1"/>
    <col min="5" max="5" width="27.7142857142857" style="4" customWidth="1"/>
    <col min="6" max="6" width="30.8571428571429" style="4" customWidth="1"/>
    <col min="7" max="7" width="28.7142857142857" style="4" customWidth="1"/>
    <col min="8" max="8" width="20.4285714285714" style="4" customWidth="1"/>
    <col min="9" max="9" width="21.2857142857143" style="4" customWidth="1"/>
    <col min="10" max="10" width="7" style="4" customWidth="1"/>
    <col min="11" max="11" width="15.5714285714286" style="4" customWidth="1"/>
    <col min="12" max="12" width="13.1428571428571" style="4" customWidth="1"/>
    <col min="13" max="13" width="14.4285714285714" style="4" customWidth="1"/>
    <col min="14" max="14" width="15.7142857142857" style="4" customWidth="1"/>
    <col min="15" max="17" width="11.8571428571429" style="5" customWidth="1"/>
    <col min="18" max="18" width="9.14285714285714" style="4"/>
    <col min="19" max="19" width="13.4285714285714" style="4" customWidth="1"/>
    <col min="20" max="20" width="12" style="4" customWidth="1"/>
    <col min="21" max="21" width="14.8571428571429" style="4" customWidth="1"/>
    <col min="22" max="22" width="12.7142857142857" style="4" customWidth="1"/>
    <col min="23" max="23" width="16" style="4" customWidth="1"/>
    <col min="24" max="24" width="12.8571428571429" style="4" customWidth="1"/>
    <col min="25" max="25" width="27" style="4" customWidth="1"/>
    <col min="26" max="16384" width="9.14285714285714" style="4"/>
  </cols>
  <sheetData>
    <row r="1" s="1" customFormat="1" ht="16.5" spans="1: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139"/>
    </row>
    <row r="2" s="2" customFormat="1" ht="16.5" spans="1:2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74" t="s">
        <v>15</v>
      </c>
      <c r="P2" s="74" t="s">
        <v>16</v>
      </c>
      <c r="Q2" s="74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20</v>
      </c>
      <c r="W2" s="8" t="s">
        <v>22</v>
      </c>
      <c r="X2" s="8" t="s">
        <v>20</v>
      </c>
      <c r="Y2" s="8" t="s">
        <v>23</v>
      </c>
      <c r="Z2" s="4"/>
    </row>
    <row r="3" ht="15.75" spans="1:25">
      <c r="A3" s="9">
        <v>1</v>
      </c>
      <c r="B3" s="10" t="s">
        <v>24</v>
      </c>
      <c r="C3" s="168" t="s">
        <v>25</v>
      </c>
      <c r="D3" s="169" t="s">
        <v>26</v>
      </c>
      <c r="E3" s="170" t="s">
        <v>27</v>
      </c>
      <c r="F3" s="171" t="s">
        <v>28</v>
      </c>
      <c r="G3" s="14" t="s">
        <v>29</v>
      </c>
      <c r="H3" s="13" t="s">
        <v>30</v>
      </c>
      <c r="I3" s="75" t="s">
        <v>31</v>
      </c>
      <c r="J3" s="171" t="s">
        <v>32</v>
      </c>
      <c r="K3" s="14">
        <v>1</v>
      </c>
      <c r="L3" s="14">
        <f>K3*5</f>
        <v>5</v>
      </c>
      <c r="M3" s="14">
        <f>K3*50</f>
        <v>50</v>
      </c>
      <c r="N3" s="14">
        <f>K3*100</f>
        <v>100</v>
      </c>
      <c r="O3" s="76">
        <v>10</v>
      </c>
      <c r="P3" s="76">
        <v>60</v>
      </c>
      <c r="Q3" s="76">
        <v>110</v>
      </c>
      <c r="R3" s="105" t="s">
        <v>33</v>
      </c>
      <c r="S3" s="106">
        <v>0.0713</v>
      </c>
      <c r="T3" s="107">
        <f>S3*O3</f>
        <v>0.713</v>
      </c>
      <c r="U3" s="107">
        <v>0.0602</v>
      </c>
      <c r="V3" s="107">
        <f>U3*P3</f>
        <v>3.612</v>
      </c>
      <c r="W3" s="107">
        <v>0.0509</v>
      </c>
      <c r="X3" s="107">
        <f>W3*Q3</f>
        <v>5.599</v>
      </c>
      <c r="Y3" s="140"/>
    </row>
    <row r="4" ht="15.75" spans="1:25">
      <c r="A4" s="9">
        <v>2</v>
      </c>
      <c r="B4" s="15"/>
      <c r="C4" s="172" t="s">
        <v>34</v>
      </c>
      <c r="D4" s="173" t="s">
        <v>35</v>
      </c>
      <c r="E4" s="174" t="s">
        <v>27</v>
      </c>
      <c r="F4" s="175" t="s">
        <v>36</v>
      </c>
      <c r="G4" s="19" t="s">
        <v>37</v>
      </c>
      <c r="H4" s="18" t="s">
        <v>38</v>
      </c>
      <c r="I4" s="77" t="s">
        <v>31</v>
      </c>
      <c r="J4" s="175" t="s">
        <v>39</v>
      </c>
      <c r="K4" s="19">
        <v>1</v>
      </c>
      <c r="L4" s="19">
        <f>K4*5</f>
        <v>5</v>
      </c>
      <c r="M4" s="19">
        <f>K4*50</f>
        <v>50</v>
      </c>
      <c r="N4" s="19">
        <f>K4*100</f>
        <v>100</v>
      </c>
      <c r="O4" s="78">
        <v>20</v>
      </c>
      <c r="P4" s="78">
        <v>60</v>
      </c>
      <c r="Q4" s="78">
        <v>120</v>
      </c>
      <c r="R4" s="108" t="s">
        <v>33</v>
      </c>
      <c r="S4" s="109">
        <v>0.0388</v>
      </c>
      <c r="T4" s="109">
        <f>S4*O4</f>
        <v>0.776</v>
      </c>
      <c r="U4" s="109">
        <v>0.0388</v>
      </c>
      <c r="V4" s="109">
        <f>U4*P4</f>
        <v>2.328</v>
      </c>
      <c r="W4" s="109">
        <v>0.0388</v>
      </c>
      <c r="X4" s="109">
        <f>W4*Q4</f>
        <v>4.656</v>
      </c>
      <c r="Y4" s="141"/>
    </row>
    <row r="5" ht="26.25" spans="1:25">
      <c r="A5" s="9">
        <v>3</v>
      </c>
      <c r="B5" s="15"/>
      <c r="C5" s="172" t="s">
        <v>40</v>
      </c>
      <c r="D5" s="176" t="s">
        <v>41</v>
      </c>
      <c r="E5" s="175" t="s">
        <v>42</v>
      </c>
      <c r="F5" s="177" t="s">
        <v>43</v>
      </c>
      <c r="G5" s="19" t="s">
        <v>44</v>
      </c>
      <c r="H5" s="18" t="s">
        <v>45</v>
      </c>
      <c r="I5" s="79" t="s">
        <v>46</v>
      </c>
      <c r="J5" s="175" t="s">
        <v>47</v>
      </c>
      <c r="K5" s="19">
        <v>17</v>
      </c>
      <c r="L5" s="19">
        <f>K5*5</f>
        <v>85</v>
      </c>
      <c r="M5" s="19">
        <f>K5*50</f>
        <v>850</v>
      </c>
      <c r="N5" s="19">
        <f>K5*100</f>
        <v>1700</v>
      </c>
      <c r="O5" s="78">
        <v>100</v>
      </c>
      <c r="P5" s="78">
        <v>900</v>
      </c>
      <c r="Q5" s="78">
        <v>1750</v>
      </c>
      <c r="R5" s="110" t="s">
        <v>33</v>
      </c>
      <c r="S5" s="109">
        <v>0.0187</v>
      </c>
      <c r="T5" s="109">
        <f>S5*O5</f>
        <v>1.87</v>
      </c>
      <c r="U5" s="109">
        <v>0.016</v>
      </c>
      <c r="V5" s="109">
        <f>U5*P5</f>
        <v>14.4</v>
      </c>
      <c r="W5" s="109">
        <v>0.014</v>
      </c>
      <c r="X5" s="109">
        <f>W5*Q5</f>
        <v>24.5</v>
      </c>
      <c r="Y5" s="141"/>
    </row>
    <row r="6" ht="15.75" spans="1:25">
      <c r="A6" s="9">
        <v>4</v>
      </c>
      <c r="B6" s="15"/>
      <c r="C6" s="172" t="s">
        <v>48</v>
      </c>
      <c r="D6" s="173" t="s">
        <v>49</v>
      </c>
      <c r="E6" s="175" t="s">
        <v>50</v>
      </c>
      <c r="F6" s="175" t="s">
        <v>51</v>
      </c>
      <c r="G6" s="19" t="s">
        <v>52</v>
      </c>
      <c r="H6" s="18" t="s">
        <v>53</v>
      </c>
      <c r="I6" s="77" t="s">
        <v>31</v>
      </c>
      <c r="J6" s="175" t="s">
        <v>54</v>
      </c>
      <c r="K6" s="19">
        <v>2</v>
      </c>
      <c r="L6" s="19">
        <f>K6*5</f>
        <v>10</v>
      </c>
      <c r="M6" s="19">
        <f>K6*50</f>
        <v>100</v>
      </c>
      <c r="N6" s="19">
        <f>K6*100</f>
        <v>200</v>
      </c>
      <c r="O6" s="78">
        <v>15</v>
      </c>
      <c r="P6" s="78">
        <v>110</v>
      </c>
      <c r="Q6" s="78">
        <v>210</v>
      </c>
      <c r="R6" s="108" t="s">
        <v>33</v>
      </c>
      <c r="S6" s="109">
        <v>0.0889</v>
      </c>
      <c r="T6" s="109">
        <f>S6*O6</f>
        <v>1.3335</v>
      </c>
      <c r="U6" s="109">
        <v>0.0746</v>
      </c>
      <c r="V6" s="109">
        <f>U6*P6</f>
        <v>8.206</v>
      </c>
      <c r="W6" s="109">
        <v>0.0629</v>
      </c>
      <c r="X6" s="109">
        <f>W6*Q6</f>
        <v>13.209</v>
      </c>
      <c r="Y6" s="141"/>
    </row>
    <row r="7" ht="15.75" spans="1:25">
      <c r="A7" s="9">
        <v>5</v>
      </c>
      <c r="B7" s="15"/>
      <c r="C7" s="172" t="s">
        <v>55</v>
      </c>
      <c r="D7" s="173" t="s">
        <v>56</v>
      </c>
      <c r="E7" s="175" t="s">
        <v>50</v>
      </c>
      <c r="F7" s="175" t="s">
        <v>57</v>
      </c>
      <c r="G7" s="19" t="s">
        <v>58</v>
      </c>
      <c r="H7" s="18" t="s">
        <v>59</v>
      </c>
      <c r="I7" s="77" t="s">
        <v>31</v>
      </c>
      <c r="J7" s="175" t="s">
        <v>60</v>
      </c>
      <c r="K7" s="19">
        <v>2</v>
      </c>
      <c r="L7" s="19">
        <f>K7*5</f>
        <v>10</v>
      </c>
      <c r="M7" s="19">
        <f>K7*50</f>
        <v>100</v>
      </c>
      <c r="N7" s="19">
        <f>K7*100</f>
        <v>200</v>
      </c>
      <c r="O7" s="78">
        <v>15</v>
      </c>
      <c r="P7" s="78">
        <v>110</v>
      </c>
      <c r="Q7" s="78">
        <v>210</v>
      </c>
      <c r="R7" s="108" t="s">
        <v>33</v>
      </c>
      <c r="S7" s="109">
        <v>0.2525</v>
      </c>
      <c r="T7" s="109">
        <f>S7*O7</f>
        <v>3.7875</v>
      </c>
      <c r="U7" s="109">
        <v>0.1828</v>
      </c>
      <c r="V7" s="109">
        <f>U7*P7</f>
        <v>20.108</v>
      </c>
      <c r="W7" s="109">
        <v>0.1828</v>
      </c>
      <c r="X7" s="109">
        <f>W7*Q7</f>
        <v>38.388</v>
      </c>
      <c r="Y7" s="141"/>
    </row>
    <row r="8" ht="15.75" spans="1:25">
      <c r="A8" s="9">
        <v>6</v>
      </c>
      <c r="B8" s="15"/>
      <c r="C8" s="172" t="s">
        <v>61</v>
      </c>
      <c r="D8" s="173" t="s">
        <v>62</v>
      </c>
      <c r="E8" s="175" t="s">
        <v>63</v>
      </c>
      <c r="F8" s="175" t="s">
        <v>64</v>
      </c>
      <c r="G8" s="19" t="s">
        <v>65</v>
      </c>
      <c r="H8" s="18" t="s">
        <v>66</v>
      </c>
      <c r="I8" s="77" t="s">
        <v>31</v>
      </c>
      <c r="J8" s="175" t="s">
        <v>67</v>
      </c>
      <c r="K8" s="19">
        <v>1</v>
      </c>
      <c r="L8" s="19">
        <f>K8*5</f>
        <v>5</v>
      </c>
      <c r="M8" s="19">
        <f>K8*50</f>
        <v>50</v>
      </c>
      <c r="N8" s="19">
        <f>K8*100</f>
        <v>100</v>
      </c>
      <c r="O8" s="78">
        <v>50</v>
      </c>
      <c r="P8" s="78">
        <v>100</v>
      </c>
      <c r="Q8" s="78">
        <v>150</v>
      </c>
      <c r="R8" s="108" t="s">
        <v>33</v>
      </c>
      <c r="S8" s="109">
        <v>0.0058</v>
      </c>
      <c r="T8" s="109">
        <f>S8*O8</f>
        <v>0.29</v>
      </c>
      <c r="U8" s="109">
        <v>0.0058</v>
      </c>
      <c r="V8" s="109">
        <f>U8*P8</f>
        <v>0.58</v>
      </c>
      <c r="W8" s="109">
        <v>0.0058</v>
      </c>
      <c r="X8" s="109">
        <f>W8*Q8</f>
        <v>0.87</v>
      </c>
      <c r="Y8" s="141"/>
    </row>
    <row r="9" ht="15.75" spans="1:25">
      <c r="A9" s="9">
        <v>7</v>
      </c>
      <c r="B9" s="15"/>
      <c r="C9" s="172" t="s">
        <v>68</v>
      </c>
      <c r="D9" s="173" t="s">
        <v>69</v>
      </c>
      <c r="E9" s="175" t="s">
        <v>70</v>
      </c>
      <c r="F9" s="178" t="s">
        <v>71</v>
      </c>
      <c r="G9" s="19" t="s">
        <v>52</v>
      </c>
      <c r="H9" s="18" t="s">
        <v>72</v>
      </c>
      <c r="I9" s="175" t="s">
        <v>73</v>
      </c>
      <c r="J9" s="175" t="s">
        <v>74</v>
      </c>
      <c r="K9" s="19">
        <v>4</v>
      </c>
      <c r="L9" s="19">
        <f>K9*5</f>
        <v>20</v>
      </c>
      <c r="M9" s="19">
        <f>K9*50</f>
        <v>200</v>
      </c>
      <c r="N9" s="19">
        <f>K9*100</f>
        <v>400</v>
      </c>
      <c r="O9" s="78">
        <v>50</v>
      </c>
      <c r="P9" s="78">
        <v>250</v>
      </c>
      <c r="Q9" s="78">
        <v>450</v>
      </c>
      <c r="R9" s="108" t="s">
        <v>33</v>
      </c>
      <c r="S9" s="109">
        <v>0.0193</v>
      </c>
      <c r="T9" s="109">
        <f>S9*O9</f>
        <v>0.965</v>
      </c>
      <c r="U9" s="109">
        <v>0.0193</v>
      </c>
      <c r="V9" s="109">
        <f>U9*P9</f>
        <v>4.825</v>
      </c>
      <c r="W9" s="111">
        <v>0.0163</v>
      </c>
      <c r="X9" s="109">
        <f>W9*Q9</f>
        <v>7.335</v>
      </c>
      <c r="Y9" s="141"/>
    </row>
    <row r="10" ht="15.75" spans="1:25">
      <c r="A10" s="9">
        <v>8</v>
      </c>
      <c r="B10" s="15"/>
      <c r="C10" s="172" t="s">
        <v>75</v>
      </c>
      <c r="D10" s="173" t="s">
        <v>76</v>
      </c>
      <c r="E10" s="175" t="s">
        <v>63</v>
      </c>
      <c r="F10" s="178" t="s">
        <v>77</v>
      </c>
      <c r="G10" s="19" t="s">
        <v>78</v>
      </c>
      <c r="H10" s="18" t="s">
        <v>79</v>
      </c>
      <c r="I10" s="175" t="s">
        <v>80</v>
      </c>
      <c r="J10" s="175" t="s">
        <v>81</v>
      </c>
      <c r="K10" s="19">
        <v>1</v>
      </c>
      <c r="L10" s="19">
        <f>K10*5</f>
        <v>5</v>
      </c>
      <c r="M10" s="19">
        <f>K10*50</f>
        <v>50</v>
      </c>
      <c r="N10" s="19">
        <f>K10*100</f>
        <v>100</v>
      </c>
      <c r="O10" s="78">
        <v>50</v>
      </c>
      <c r="P10" s="78">
        <v>100</v>
      </c>
      <c r="Q10" s="78">
        <v>150</v>
      </c>
      <c r="R10" s="108" t="s">
        <v>33</v>
      </c>
      <c r="S10" s="109">
        <v>0.0103</v>
      </c>
      <c r="T10" s="109">
        <f>S10*O10</f>
        <v>0.515</v>
      </c>
      <c r="U10" s="109">
        <v>0.0103</v>
      </c>
      <c r="V10" s="109">
        <f>U10*P10</f>
        <v>1.03</v>
      </c>
      <c r="W10" s="109">
        <v>0.0103</v>
      </c>
      <c r="X10" s="109">
        <f>W10*Q10</f>
        <v>1.545</v>
      </c>
      <c r="Y10" s="141"/>
    </row>
    <row r="11" ht="15.75" spans="1:25">
      <c r="A11" s="9">
        <v>9</v>
      </c>
      <c r="B11" s="15"/>
      <c r="C11" s="172" t="s">
        <v>82</v>
      </c>
      <c r="D11" s="173" t="s">
        <v>83</v>
      </c>
      <c r="E11" s="174" t="s">
        <v>84</v>
      </c>
      <c r="F11" s="175" t="s">
        <v>85</v>
      </c>
      <c r="G11" s="19" t="s">
        <v>86</v>
      </c>
      <c r="H11" s="18" t="s">
        <v>87</v>
      </c>
      <c r="I11" s="175" t="s">
        <v>31</v>
      </c>
      <c r="J11" s="175" t="s">
        <v>88</v>
      </c>
      <c r="K11" s="19">
        <v>1</v>
      </c>
      <c r="L11" s="19">
        <f>K11*5</f>
        <v>5</v>
      </c>
      <c r="M11" s="19">
        <f>K11*50</f>
        <v>50</v>
      </c>
      <c r="N11" s="19">
        <f>K11*100</f>
        <v>100</v>
      </c>
      <c r="O11" s="78">
        <v>7</v>
      </c>
      <c r="P11" s="78">
        <v>60</v>
      </c>
      <c r="Q11" s="78">
        <v>110</v>
      </c>
      <c r="R11" s="108" t="s">
        <v>33</v>
      </c>
      <c r="S11" s="111">
        <v>0.2453</v>
      </c>
      <c r="T11" s="109">
        <f>S11*O11</f>
        <v>1.7171</v>
      </c>
      <c r="U11" s="109">
        <v>0.1695</v>
      </c>
      <c r="V11" s="109">
        <f>U11*P11</f>
        <v>10.17</v>
      </c>
      <c r="W11" s="109">
        <v>0.1433</v>
      </c>
      <c r="X11" s="109">
        <f>W11*Q11</f>
        <v>15.763</v>
      </c>
      <c r="Y11" s="141"/>
    </row>
    <row r="12" s="3" customFormat="1" ht="15.75" spans="1:25">
      <c r="A12" s="9">
        <v>10</v>
      </c>
      <c r="B12" s="15"/>
      <c r="C12" s="179" t="s">
        <v>89</v>
      </c>
      <c r="D12" s="180" t="s">
        <v>90</v>
      </c>
      <c r="E12" s="181" t="s">
        <v>27</v>
      </c>
      <c r="F12" s="182" t="s">
        <v>91</v>
      </c>
      <c r="G12" s="27" t="s">
        <v>92</v>
      </c>
      <c r="H12" s="28" t="s">
        <v>93</v>
      </c>
      <c r="I12" s="183" t="s">
        <v>94</v>
      </c>
      <c r="J12" s="183" t="s">
        <v>95</v>
      </c>
      <c r="K12" s="27">
        <v>1</v>
      </c>
      <c r="L12" s="27">
        <f>K12*5</f>
        <v>5</v>
      </c>
      <c r="M12" s="27">
        <f>K12*50</f>
        <v>50</v>
      </c>
      <c r="N12" s="27">
        <f>K12*100</f>
        <v>100</v>
      </c>
      <c r="O12" s="80">
        <v>20</v>
      </c>
      <c r="P12" s="80">
        <v>150</v>
      </c>
      <c r="Q12" s="80">
        <v>300</v>
      </c>
      <c r="R12" s="112" t="s">
        <v>33</v>
      </c>
      <c r="S12" s="113">
        <v>0.1245</v>
      </c>
      <c r="T12" s="113">
        <f>S12*O12</f>
        <v>2.49</v>
      </c>
      <c r="U12" s="114">
        <v>0.0879</v>
      </c>
      <c r="V12" s="113">
        <f>U12*P12</f>
        <v>13.185</v>
      </c>
      <c r="W12" s="113">
        <v>0.1033</v>
      </c>
      <c r="X12" s="113">
        <f>W12*Q12</f>
        <v>30.99</v>
      </c>
      <c r="Y12" s="142" t="s">
        <v>96</v>
      </c>
    </row>
    <row r="13" ht="15.75" spans="1:25">
      <c r="A13" s="9">
        <v>11</v>
      </c>
      <c r="B13" s="15"/>
      <c r="C13" s="172" t="s">
        <v>97</v>
      </c>
      <c r="D13" s="173" t="s">
        <v>98</v>
      </c>
      <c r="E13" s="175" t="s">
        <v>42</v>
      </c>
      <c r="F13" s="175" t="s">
        <v>99</v>
      </c>
      <c r="G13" s="19" t="s">
        <v>52</v>
      </c>
      <c r="H13" s="18" t="s">
        <v>100</v>
      </c>
      <c r="I13" s="175" t="s">
        <v>31</v>
      </c>
      <c r="J13" s="175" t="s">
        <v>101</v>
      </c>
      <c r="K13" s="19">
        <v>2</v>
      </c>
      <c r="L13" s="19">
        <f>K13*5</f>
        <v>10</v>
      </c>
      <c r="M13" s="19">
        <f>K13*50</f>
        <v>100</v>
      </c>
      <c r="N13" s="19">
        <f>K13*100</f>
        <v>200</v>
      </c>
      <c r="O13" s="78">
        <v>50</v>
      </c>
      <c r="P13" s="78">
        <v>150</v>
      </c>
      <c r="Q13" s="78">
        <v>250</v>
      </c>
      <c r="R13" s="108" t="s">
        <v>33</v>
      </c>
      <c r="S13" s="109">
        <v>0.0076</v>
      </c>
      <c r="T13" s="109">
        <f>S13*O13</f>
        <v>0.38</v>
      </c>
      <c r="U13" s="109">
        <v>0.0076</v>
      </c>
      <c r="V13" s="109">
        <f>U13*P13</f>
        <v>1.14</v>
      </c>
      <c r="W13" s="109">
        <v>0.0076</v>
      </c>
      <c r="X13" s="109">
        <f>W13*Q13</f>
        <v>1.9</v>
      </c>
      <c r="Y13" s="141"/>
    </row>
    <row r="14" ht="15.75" spans="1:25">
      <c r="A14" s="9">
        <v>12</v>
      </c>
      <c r="B14" s="15"/>
      <c r="C14" s="172" t="s">
        <v>102</v>
      </c>
      <c r="D14" s="173" t="s">
        <v>103</v>
      </c>
      <c r="E14" s="175" t="s">
        <v>63</v>
      </c>
      <c r="F14" s="175" t="s">
        <v>104</v>
      </c>
      <c r="G14" s="19" t="s">
        <v>105</v>
      </c>
      <c r="H14" s="18" t="s">
        <v>106</v>
      </c>
      <c r="I14" s="175" t="s">
        <v>31</v>
      </c>
      <c r="J14" s="175" t="s">
        <v>107</v>
      </c>
      <c r="K14" s="19">
        <v>2</v>
      </c>
      <c r="L14" s="19">
        <f>K14*5</f>
        <v>10</v>
      </c>
      <c r="M14" s="19">
        <f>K14*50</f>
        <v>100</v>
      </c>
      <c r="N14" s="19">
        <f>K14*100</f>
        <v>200</v>
      </c>
      <c r="O14" s="78">
        <v>20</v>
      </c>
      <c r="P14" s="78">
        <v>120</v>
      </c>
      <c r="Q14" s="78">
        <v>220</v>
      </c>
      <c r="R14" s="108" t="s">
        <v>33</v>
      </c>
      <c r="S14" s="109">
        <v>0.0212</v>
      </c>
      <c r="T14" s="109">
        <f>S14*O14</f>
        <v>0.424</v>
      </c>
      <c r="U14" s="109">
        <v>0.0212</v>
      </c>
      <c r="V14" s="109">
        <f>U14*P14</f>
        <v>2.544</v>
      </c>
      <c r="W14" s="109">
        <v>0.0174</v>
      </c>
      <c r="X14" s="109">
        <f>W14*Q14</f>
        <v>3.828</v>
      </c>
      <c r="Y14" s="141"/>
    </row>
    <row r="15" ht="15.75" spans="1:25">
      <c r="A15" s="9">
        <v>13</v>
      </c>
      <c r="B15" s="15"/>
      <c r="C15" s="172" t="s">
        <v>108</v>
      </c>
      <c r="D15" s="173" t="s">
        <v>109</v>
      </c>
      <c r="E15" s="175" t="s">
        <v>42</v>
      </c>
      <c r="F15" s="175" t="s">
        <v>110</v>
      </c>
      <c r="G15" s="19" t="s">
        <v>111</v>
      </c>
      <c r="H15" s="18" t="s">
        <v>112</v>
      </c>
      <c r="I15" s="175" t="s">
        <v>31</v>
      </c>
      <c r="J15" s="175" t="s">
        <v>113</v>
      </c>
      <c r="K15" s="19">
        <v>2</v>
      </c>
      <c r="L15" s="19">
        <f>K15*5</f>
        <v>10</v>
      </c>
      <c r="M15" s="19">
        <f>K15*50</f>
        <v>100</v>
      </c>
      <c r="N15" s="19">
        <f>K15*100</f>
        <v>200</v>
      </c>
      <c r="O15" s="78">
        <v>50</v>
      </c>
      <c r="P15" s="78">
        <v>150</v>
      </c>
      <c r="Q15" s="78">
        <v>250</v>
      </c>
      <c r="R15" s="108" t="s">
        <v>33</v>
      </c>
      <c r="S15" s="109">
        <v>0.0099</v>
      </c>
      <c r="T15" s="109">
        <f>S15*O15</f>
        <v>0.495</v>
      </c>
      <c r="U15" s="109">
        <v>0.0099</v>
      </c>
      <c r="V15" s="109">
        <f>U15*P15</f>
        <v>1.485</v>
      </c>
      <c r="W15" s="109">
        <v>0.0099</v>
      </c>
      <c r="X15" s="109">
        <f>W15*Q15</f>
        <v>2.475</v>
      </c>
      <c r="Y15" s="141"/>
    </row>
    <row r="16" spans="1:25">
      <c r="A16" s="9">
        <v>14</v>
      </c>
      <c r="B16" s="15"/>
      <c r="C16" s="172" t="s">
        <v>114</v>
      </c>
      <c r="D16" s="173" t="s">
        <v>115</v>
      </c>
      <c r="E16" s="174" t="s">
        <v>42</v>
      </c>
      <c r="F16" s="175" t="s">
        <v>116</v>
      </c>
      <c r="G16" s="19" t="s">
        <v>117</v>
      </c>
      <c r="H16" s="18" t="s">
        <v>118</v>
      </c>
      <c r="I16" s="175" t="s">
        <v>31</v>
      </c>
      <c r="J16" s="175" t="s">
        <v>119</v>
      </c>
      <c r="K16" s="19">
        <v>1</v>
      </c>
      <c r="L16" s="19">
        <f>K16*5</f>
        <v>5</v>
      </c>
      <c r="M16" s="19">
        <f>K16*50</f>
        <v>50</v>
      </c>
      <c r="N16" s="19">
        <f>K16*100</f>
        <v>100</v>
      </c>
      <c r="O16" s="78">
        <v>7</v>
      </c>
      <c r="P16" s="78">
        <v>60</v>
      </c>
      <c r="Q16" s="78">
        <v>110</v>
      </c>
      <c r="R16" s="108" t="s">
        <v>33</v>
      </c>
      <c r="S16" s="111">
        <v>0.1906</v>
      </c>
      <c r="T16" s="109">
        <f>S16*O16</f>
        <v>1.3342</v>
      </c>
      <c r="U16" s="109">
        <v>0.1366</v>
      </c>
      <c r="V16" s="109">
        <f>U16*P16</f>
        <v>8.196</v>
      </c>
      <c r="W16" s="109">
        <v>0.1178</v>
      </c>
      <c r="X16" s="109">
        <f>W16*Q16</f>
        <v>12.958</v>
      </c>
      <c r="Y16" s="141"/>
    </row>
    <row r="17" ht="15.75" spans="1:25">
      <c r="A17" s="9">
        <v>15</v>
      </c>
      <c r="B17" s="29"/>
      <c r="C17" s="184" t="s">
        <v>120</v>
      </c>
      <c r="D17" s="185" t="s">
        <v>121</v>
      </c>
      <c r="E17" s="186" t="s">
        <v>42</v>
      </c>
      <c r="F17" s="186" t="s">
        <v>122</v>
      </c>
      <c r="G17" s="32" t="s">
        <v>44</v>
      </c>
      <c r="H17" s="33" t="s">
        <v>123</v>
      </c>
      <c r="I17" s="186" t="s">
        <v>31</v>
      </c>
      <c r="J17" s="186" t="s">
        <v>124</v>
      </c>
      <c r="K17" s="32">
        <v>1</v>
      </c>
      <c r="L17" s="32">
        <f>K17*5</f>
        <v>5</v>
      </c>
      <c r="M17" s="32">
        <f>K17*50</f>
        <v>50</v>
      </c>
      <c r="N17" s="32">
        <f>K17*100</f>
        <v>100</v>
      </c>
      <c r="O17" s="81">
        <v>100</v>
      </c>
      <c r="P17" s="81">
        <v>100</v>
      </c>
      <c r="Q17" s="81">
        <v>200</v>
      </c>
      <c r="R17" s="115" t="s">
        <v>33</v>
      </c>
      <c r="S17" s="116">
        <v>0.0039</v>
      </c>
      <c r="T17" s="116">
        <f>S17*O17</f>
        <v>0.39</v>
      </c>
      <c r="U17" s="116">
        <v>0.0039</v>
      </c>
      <c r="V17" s="116">
        <f>U17*P17</f>
        <v>0.39</v>
      </c>
      <c r="W17" s="116">
        <v>0.0039</v>
      </c>
      <c r="X17" s="116">
        <f>W17*Q17</f>
        <v>0.78</v>
      </c>
      <c r="Y17" s="143"/>
    </row>
    <row r="18" ht="15.75" spans="1:25">
      <c r="A18" s="9"/>
      <c r="B18" s="34" t="s">
        <v>125</v>
      </c>
      <c r="C18" s="11" t="s">
        <v>126</v>
      </c>
      <c r="D18" s="12" t="s">
        <v>127</v>
      </c>
      <c r="E18" s="171" t="s">
        <v>128</v>
      </c>
      <c r="F18" s="14" t="s">
        <v>129</v>
      </c>
      <c r="G18" s="14" t="s">
        <v>130</v>
      </c>
      <c r="H18" s="13" t="s">
        <v>131</v>
      </c>
      <c r="I18" s="171" t="s">
        <v>31</v>
      </c>
      <c r="J18" s="82" t="s">
        <v>132</v>
      </c>
      <c r="K18" s="14">
        <v>1</v>
      </c>
      <c r="L18" s="14">
        <f>K18*5</f>
        <v>5</v>
      </c>
      <c r="M18" s="14">
        <f>K18*50</f>
        <v>50</v>
      </c>
      <c r="N18" s="14">
        <f>K18*100</f>
        <v>100</v>
      </c>
      <c r="O18" s="76">
        <v>7</v>
      </c>
      <c r="P18" s="76">
        <v>55</v>
      </c>
      <c r="Q18" s="76">
        <v>105</v>
      </c>
      <c r="R18" s="117" t="s">
        <v>33</v>
      </c>
      <c r="S18" s="118">
        <v>0.1951</v>
      </c>
      <c r="T18" s="107">
        <f>S18*O18</f>
        <v>1.3657</v>
      </c>
      <c r="U18" s="118">
        <v>0.1401</v>
      </c>
      <c r="V18" s="107">
        <f>U18*P18</f>
        <v>7.7055</v>
      </c>
      <c r="W18" s="118">
        <v>0.1784</v>
      </c>
      <c r="X18" s="107">
        <f>W18*Q18</f>
        <v>18.732</v>
      </c>
      <c r="Y18" s="140"/>
    </row>
    <row r="19" ht="15.75" spans="1:25">
      <c r="A19" s="9">
        <v>16</v>
      </c>
      <c r="B19" s="35"/>
      <c r="C19" s="187" t="s">
        <v>133</v>
      </c>
      <c r="D19" s="188" t="s">
        <v>134</v>
      </c>
      <c r="E19" s="189" t="s">
        <v>135</v>
      </c>
      <c r="F19" s="190" t="s">
        <v>136</v>
      </c>
      <c r="G19" s="38" t="s">
        <v>137</v>
      </c>
      <c r="H19" s="40" t="s">
        <v>138</v>
      </c>
      <c r="I19" s="189" t="s">
        <v>139</v>
      </c>
      <c r="J19" s="83" t="s">
        <v>132</v>
      </c>
      <c r="K19" s="38">
        <v>2</v>
      </c>
      <c r="L19" s="38">
        <f t="shared" ref="L19:L35" si="0">K19*5</f>
        <v>10</v>
      </c>
      <c r="M19" s="38">
        <f t="shared" ref="M19:M35" si="1">K19*50</f>
        <v>100</v>
      </c>
      <c r="N19" s="38">
        <f t="shared" ref="N19:N35" si="2">K19*100</f>
        <v>200</v>
      </c>
      <c r="O19" s="84">
        <v>20</v>
      </c>
      <c r="P19" s="84">
        <v>170</v>
      </c>
      <c r="Q19" s="84">
        <v>320</v>
      </c>
      <c r="R19" s="119" t="s">
        <v>33</v>
      </c>
      <c r="S19" s="120">
        <v>0.1712</v>
      </c>
      <c r="T19" s="121">
        <f t="shared" ref="T19:T35" si="3">S19*O19</f>
        <v>3.424</v>
      </c>
      <c r="U19" s="121">
        <v>0.129</v>
      </c>
      <c r="V19" s="121">
        <f t="shared" ref="V19:V35" si="4">U19*P19</f>
        <v>21.93</v>
      </c>
      <c r="W19" s="120">
        <v>0.129</v>
      </c>
      <c r="X19" s="121">
        <f t="shared" ref="X19:X35" si="5">W19*Q19</f>
        <v>41.28</v>
      </c>
      <c r="Y19" s="144" t="s">
        <v>140</v>
      </c>
    </row>
    <row r="20" ht="15.75" spans="1:25">
      <c r="A20" s="9">
        <v>17</v>
      </c>
      <c r="B20" s="41" t="s">
        <v>141</v>
      </c>
      <c r="C20" s="191" t="s">
        <v>142</v>
      </c>
      <c r="D20" s="192" t="s">
        <v>143</v>
      </c>
      <c r="E20" s="193" t="s">
        <v>144</v>
      </c>
      <c r="F20" s="193" t="s">
        <v>145</v>
      </c>
      <c r="G20" s="44" t="s">
        <v>146</v>
      </c>
      <c r="H20" s="45" t="s">
        <v>147</v>
      </c>
      <c r="I20" s="85" t="s">
        <v>31</v>
      </c>
      <c r="J20" s="86" t="s">
        <v>132</v>
      </c>
      <c r="K20" s="44">
        <v>2</v>
      </c>
      <c r="L20" s="44">
        <f t="shared" si="0"/>
        <v>10</v>
      </c>
      <c r="M20" s="44">
        <f t="shared" si="1"/>
        <v>100</v>
      </c>
      <c r="N20" s="44">
        <f t="shared" si="2"/>
        <v>200</v>
      </c>
      <c r="O20" s="87">
        <v>20</v>
      </c>
      <c r="P20" s="87">
        <v>110</v>
      </c>
      <c r="Q20" s="87">
        <v>210</v>
      </c>
      <c r="R20" s="122" t="s">
        <v>33</v>
      </c>
      <c r="S20" s="123">
        <v>0.0498</v>
      </c>
      <c r="T20" s="123">
        <f t="shared" si="3"/>
        <v>0.996</v>
      </c>
      <c r="U20" s="123">
        <v>0.0412</v>
      </c>
      <c r="V20" s="123">
        <f t="shared" si="4"/>
        <v>4.532</v>
      </c>
      <c r="W20" s="123">
        <v>0.0412</v>
      </c>
      <c r="X20" s="123">
        <f t="shared" si="5"/>
        <v>8.652</v>
      </c>
      <c r="Y20" s="145"/>
    </row>
    <row r="21" ht="26.25" spans="1:25">
      <c r="A21" s="9">
        <v>18</v>
      </c>
      <c r="B21" s="46" t="s">
        <v>148</v>
      </c>
      <c r="C21" s="194" t="s">
        <v>149</v>
      </c>
      <c r="D21" s="195" t="s">
        <v>150</v>
      </c>
      <c r="E21" s="196" t="s">
        <v>151</v>
      </c>
      <c r="F21" s="197" t="s">
        <v>152</v>
      </c>
      <c r="G21" s="49" t="s">
        <v>153</v>
      </c>
      <c r="H21" s="51" t="s">
        <v>154</v>
      </c>
      <c r="I21" s="88" t="s">
        <v>31</v>
      </c>
      <c r="J21" s="89" t="s">
        <v>132</v>
      </c>
      <c r="K21" s="49">
        <v>1</v>
      </c>
      <c r="L21" s="49">
        <f t="shared" si="0"/>
        <v>5</v>
      </c>
      <c r="M21" s="49">
        <f t="shared" si="1"/>
        <v>50</v>
      </c>
      <c r="N21" s="49">
        <f t="shared" si="2"/>
        <v>100</v>
      </c>
      <c r="O21" s="90">
        <v>10</v>
      </c>
      <c r="P21" s="90">
        <v>60</v>
      </c>
      <c r="Q21" s="90">
        <v>110</v>
      </c>
      <c r="R21" s="124" t="s">
        <v>33</v>
      </c>
      <c r="S21" s="125">
        <v>0.0564</v>
      </c>
      <c r="T21" s="125">
        <f t="shared" si="3"/>
        <v>0.564</v>
      </c>
      <c r="U21" s="125">
        <v>0.0564</v>
      </c>
      <c r="V21" s="125">
        <f t="shared" si="4"/>
        <v>3.384</v>
      </c>
      <c r="W21" s="125">
        <v>0.0458</v>
      </c>
      <c r="X21" s="125">
        <f t="shared" si="5"/>
        <v>5.038</v>
      </c>
      <c r="Y21" s="146"/>
    </row>
    <row r="22" ht="15.75" spans="1:25">
      <c r="A22" s="9">
        <v>19</v>
      </c>
      <c r="B22" s="15"/>
      <c r="C22" s="172" t="s">
        <v>155</v>
      </c>
      <c r="D22" s="173" t="s">
        <v>156</v>
      </c>
      <c r="E22" s="175" t="s">
        <v>151</v>
      </c>
      <c r="F22" s="175" t="s">
        <v>157</v>
      </c>
      <c r="G22" s="19" t="s">
        <v>137</v>
      </c>
      <c r="H22" s="18" t="s">
        <v>158</v>
      </c>
      <c r="I22" s="77" t="s">
        <v>31</v>
      </c>
      <c r="J22" s="91" t="s">
        <v>132</v>
      </c>
      <c r="K22" s="19">
        <v>1</v>
      </c>
      <c r="L22" s="19">
        <f t="shared" si="0"/>
        <v>5</v>
      </c>
      <c r="M22" s="19">
        <f t="shared" si="1"/>
        <v>50</v>
      </c>
      <c r="N22" s="19">
        <f t="shared" si="2"/>
        <v>100</v>
      </c>
      <c r="O22" s="78">
        <v>7</v>
      </c>
      <c r="P22" s="78">
        <v>60</v>
      </c>
      <c r="Q22" s="78">
        <v>110</v>
      </c>
      <c r="R22" s="108" t="s">
        <v>33</v>
      </c>
      <c r="S22" s="126">
        <v>0.187</v>
      </c>
      <c r="T22" s="109">
        <f t="shared" si="3"/>
        <v>1.309</v>
      </c>
      <c r="U22" s="109">
        <v>0.1306</v>
      </c>
      <c r="V22" s="109">
        <f t="shared" si="4"/>
        <v>7.836</v>
      </c>
      <c r="W22" s="109">
        <v>0.1109</v>
      </c>
      <c r="X22" s="109">
        <f t="shared" si="5"/>
        <v>12.199</v>
      </c>
      <c r="Y22" s="141"/>
    </row>
    <row r="23" ht="15.75" spans="1:25">
      <c r="A23" s="9">
        <v>20</v>
      </c>
      <c r="B23" s="15"/>
      <c r="C23" s="172" t="s">
        <v>159</v>
      </c>
      <c r="D23" s="173" t="s">
        <v>160</v>
      </c>
      <c r="E23" s="175" t="s">
        <v>151</v>
      </c>
      <c r="F23" s="175" t="s">
        <v>161</v>
      </c>
      <c r="G23" s="19" t="s">
        <v>162</v>
      </c>
      <c r="H23" s="18" t="s">
        <v>163</v>
      </c>
      <c r="I23" s="77" t="s">
        <v>31</v>
      </c>
      <c r="J23" s="91" t="s">
        <v>132</v>
      </c>
      <c r="K23" s="19">
        <v>1</v>
      </c>
      <c r="L23" s="19">
        <f t="shared" si="0"/>
        <v>5</v>
      </c>
      <c r="M23" s="19">
        <f t="shared" si="1"/>
        <v>50</v>
      </c>
      <c r="N23" s="19">
        <f t="shared" si="2"/>
        <v>100</v>
      </c>
      <c r="O23" s="78">
        <v>7</v>
      </c>
      <c r="P23" s="78">
        <v>60</v>
      </c>
      <c r="Q23" s="78">
        <v>110</v>
      </c>
      <c r="R23" s="108" t="s">
        <v>33</v>
      </c>
      <c r="S23" s="126">
        <v>0.2015</v>
      </c>
      <c r="T23" s="109">
        <f t="shared" si="3"/>
        <v>1.4105</v>
      </c>
      <c r="U23" s="109">
        <v>0.1373</v>
      </c>
      <c r="V23" s="109">
        <f t="shared" si="4"/>
        <v>8.238</v>
      </c>
      <c r="W23" s="109">
        <v>0.115</v>
      </c>
      <c r="X23" s="109">
        <f t="shared" si="5"/>
        <v>12.65</v>
      </c>
      <c r="Y23" s="141"/>
    </row>
    <row r="24" ht="15.75" spans="1:25">
      <c r="A24" s="9">
        <v>21</v>
      </c>
      <c r="B24" s="15"/>
      <c r="C24" s="172" t="s">
        <v>164</v>
      </c>
      <c r="D24" s="173" t="s">
        <v>165</v>
      </c>
      <c r="E24" s="175" t="s">
        <v>151</v>
      </c>
      <c r="F24" s="175" t="s">
        <v>166</v>
      </c>
      <c r="G24" s="19" t="s">
        <v>153</v>
      </c>
      <c r="H24" s="18" t="s">
        <v>167</v>
      </c>
      <c r="I24" s="77" t="s">
        <v>31</v>
      </c>
      <c r="J24" s="91" t="s">
        <v>132</v>
      </c>
      <c r="K24" s="19">
        <v>1</v>
      </c>
      <c r="L24" s="19">
        <f t="shared" si="0"/>
        <v>5</v>
      </c>
      <c r="M24" s="19">
        <f t="shared" si="1"/>
        <v>50</v>
      </c>
      <c r="N24" s="19">
        <f t="shared" si="2"/>
        <v>100</v>
      </c>
      <c r="O24" s="78">
        <v>10</v>
      </c>
      <c r="P24" s="78">
        <v>60</v>
      </c>
      <c r="Q24" s="78">
        <v>110</v>
      </c>
      <c r="R24" s="108" t="s">
        <v>33</v>
      </c>
      <c r="S24" s="109">
        <v>0.0555</v>
      </c>
      <c r="T24" s="109">
        <f t="shared" si="3"/>
        <v>0.555</v>
      </c>
      <c r="U24" s="109">
        <v>0.0555</v>
      </c>
      <c r="V24" s="109">
        <f t="shared" si="4"/>
        <v>3.33</v>
      </c>
      <c r="W24" s="109">
        <v>0.0451</v>
      </c>
      <c r="X24" s="109">
        <f t="shared" si="5"/>
        <v>4.961</v>
      </c>
      <c r="Y24" s="141"/>
    </row>
    <row r="25" ht="15.75" spans="1:25">
      <c r="A25" s="9">
        <v>22</v>
      </c>
      <c r="B25" s="29"/>
      <c r="C25" s="198" t="s">
        <v>168</v>
      </c>
      <c r="D25" s="199" t="s">
        <v>169</v>
      </c>
      <c r="E25" s="200" t="s">
        <v>170</v>
      </c>
      <c r="F25" s="201" t="s">
        <v>171</v>
      </c>
      <c r="G25" s="55" t="s">
        <v>172</v>
      </c>
      <c r="H25" s="200" t="s">
        <v>31</v>
      </c>
      <c r="I25" s="92" t="s">
        <v>31</v>
      </c>
      <c r="J25" s="92" t="s">
        <v>132</v>
      </c>
      <c r="K25" s="55">
        <v>1</v>
      </c>
      <c r="L25" s="55">
        <f t="shared" si="0"/>
        <v>5</v>
      </c>
      <c r="M25" s="55">
        <f t="shared" si="1"/>
        <v>50</v>
      </c>
      <c r="N25" s="55">
        <f t="shared" si="2"/>
        <v>100</v>
      </c>
      <c r="O25" s="93">
        <v>7</v>
      </c>
      <c r="P25" s="93">
        <v>60</v>
      </c>
      <c r="Q25" s="93">
        <v>110</v>
      </c>
      <c r="R25" s="127" t="s">
        <v>173</v>
      </c>
      <c r="S25" s="128">
        <v>0.69502</v>
      </c>
      <c r="T25" s="128">
        <f t="shared" si="3"/>
        <v>4.86514</v>
      </c>
      <c r="U25" s="128">
        <v>0.69502</v>
      </c>
      <c r="V25" s="128">
        <f t="shared" si="4"/>
        <v>41.7012</v>
      </c>
      <c r="W25" s="128">
        <v>0.55601</v>
      </c>
      <c r="X25" s="128">
        <f t="shared" si="5"/>
        <v>61.1611</v>
      </c>
      <c r="Y25" s="147"/>
    </row>
    <row r="26" ht="15.75" spans="1:25">
      <c r="A26" s="9">
        <v>23</v>
      </c>
      <c r="B26" s="10" t="s">
        <v>174</v>
      </c>
      <c r="C26" s="168" t="s">
        <v>175</v>
      </c>
      <c r="D26" s="169" t="s">
        <v>176</v>
      </c>
      <c r="E26" s="170" t="s">
        <v>27</v>
      </c>
      <c r="F26" s="171" t="s">
        <v>177</v>
      </c>
      <c r="G26" s="14" t="s">
        <v>178</v>
      </c>
      <c r="H26" s="13" t="s">
        <v>179</v>
      </c>
      <c r="I26" s="75" t="s">
        <v>31</v>
      </c>
      <c r="J26" s="82" t="s">
        <v>132</v>
      </c>
      <c r="K26" s="14">
        <v>1</v>
      </c>
      <c r="L26" s="14">
        <f t="shared" si="0"/>
        <v>5</v>
      </c>
      <c r="M26" s="14">
        <f t="shared" si="1"/>
        <v>50</v>
      </c>
      <c r="N26" s="14">
        <f t="shared" si="2"/>
        <v>100</v>
      </c>
      <c r="O26" s="76">
        <v>7</v>
      </c>
      <c r="P26" s="76">
        <v>60</v>
      </c>
      <c r="Q26" s="76">
        <v>110</v>
      </c>
      <c r="R26" s="105" t="s">
        <v>33</v>
      </c>
      <c r="S26" s="129">
        <v>0.3778</v>
      </c>
      <c r="T26" s="107">
        <f t="shared" si="3"/>
        <v>2.6446</v>
      </c>
      <c r="U26" s="107">
        <v>0.2558</v>
      </c>
      <c r="V26" s="107">
        <f t="shared" si="4"/>
        <v>15.348</v>
      </c>
      <c r="W26" s="107">
        <v>0.2093</v>
      </c>
      <c r="X26" s="107">
        <f t="shared" si="5"/>
        <v>23.023</v>
      </c>
      <c r="Y26" s="140"/>
    </row>
    <row r="27" ht="15.75" spans="1:25">
      <c r="A27" s="9">
        <v>24</v>
      </c>
      <c r="B27" s="56"/>
      <c r="C27" s="187" t="s">
        <v>180</v>
      </c>
      <c r="D27" s="188" t="s">
        <v>181</v>
      </c>
      <c r="E27" s="202" t="s">
        <v>27</v>
      </c>
      <c r="F27" s="189" t="s">
        <v>182</v>
      </c>
      <c r="G27" s="38" t="s">
        <v>183</v>
      </c>
      <c r="H27" s="40" t="s">
        <v>184</v>
      </c>
      <c r="I27" s="94" t="s">
        <v>31</v>
      </c>
      <c r="J27" s="83" t="s">
        <v>132</v>
      </c>
      <c r="K27" s="38">
        <v>1</v>
      </c>
      <c r="L27" s="38">
        <f t="shared" si="0"/>
        <v>5</v>
      </c>
      <c r="M27" s="38">
        <f t="shared" si="1"/>
        <v>50</v>
      </c>
      <c r="N27" s="38">
        <f t="shared" si="2"/>
        <v>100</v>
      </c>
      <c r="O27" s="84">
        <v>7</v>
      </c>
      <c r="P27" s="84">
        <v>60</v>
      </c>
      <c r="Q27" s="84">
        <v>110</v>
      </c>
      <c r="R27" s="119" t="s">
        <v>33</v>
      </c>
      <c r="S27" s="130">
        <v>0.8223</v>
      </c>
      <c r="T27" s="121">
        <f t="shared" si="3"/>
        <v>5.7561</v>
      </c>
      <c r="U27" s="121">
        <v>0.5951</v>
      </c>
      <c r="V27" s="121">
        <f t="shared" si="4"/>
        <v>35.706</v>
      </c>
      <c r="W27" s="121">
        <v>0.5176</v>
      </c>
      <c r="X27" s="121">
        <f t="shared" si="5"/>
        <v>56.936</v>
      </c>
      <c r="Y27" s="148"/>
    </row>
    <row r="28" ht="15.75" spans="1:25">
      <c r="A28" s="9">
        <v>25</v>
      </c>
      <c r="B28" s="57" t="s">
        <v>185</v>
      </c>
      <c r="C28" s="203" t="s">
        <v>186</v>
      </c>
      <c r="D28" s="204" t="s">
        <v>187</v>
      </c>
      <c r="E28" s="205" t="s">
        <v>27</v>
      </c>
      <c r="F28" s="206" t="s">
        <v>188</v>
      </c>
      <c r="G28" s="61" t="s">
        <v>189</v>
      </c>
      <c r="H28" s="60" t="s">
        <v>190</v>
      </c>
      <c r="I28" s="95" t="s">
        <v>31</v>
      </c>
      <c r="J28" s="96" t="s">
        <v>132</v>
      </c>
      <c r="K28" s="61">
        <v>1</v>
      </c>
      <c r="L28" s="61">
        <f t="shared" si="0"/>
        <v>5</v>
      </c>
      <c r="M28" s="61">
        <f t="shared" si="1"/>
        <v>50</v>
      </c>
      <c r="N28" s="61">
        <f t="shared" si="2"/>
        <v>100</v>
      </c>
      <c r="O28" s="97">
        <v>7</v>
      </c>
      <c r="P28" s="97">
        <v>55</v>
      </c>
      <c r="Q28" s="97">
        <v>110</v>
      </c>
      <c r="R28" s="131" t="s">
        <v>33</v>
      </c>
      <c r="S28" s="111">
        <v>0.3391</v>
      </c>
      <c r="T28" s="132">
        <f t="shared" si="3"/>
        <v>2.3737</v>
      </c>
      <c r="U28" s="132">
        <v>0.2395</v>
      </c>
      <c r="V28" s="132">
        <f t="shared" si="4"/>
        <v>13.1725</v>
      </c>
      <c r="W28" s="132">
        <v>0.205</v>
      </c>
      <c r="X28" s="132">
        <f t="shared" si="5"/>
        <v>22.55</v>
      </c>
      <c r="Y28" s="149"/>
    </row>
    <row r="29" ht="15.75" spans="1:25">
      <c r="A29" s="9">
        <v>26</v>
      </c>
      <c r="B29" s="62" t="s">
        <v>191</v>
      </c>
      <c r="C29" s="207" t="s">
        <v>192</v>
      </c>
      <c r="D29" s="208" t="s">
        <v>193</v>
      </c>
      <c r="E29" s="209" t="s">
        <v>27</v>
      </c>
      <c r="F29" s="210" t="s">
        <v>194</v>
      </c>
      <c r="G29" s="66" t="s">
        <v>195</v>
      </c>
      <c r="H29" s="209" t="s">
        <v>31</v>
      </c>
      <c r="I29" s="98" t="s">
        <v>31</v>
      </c>
      <c r="J29" s="98" t="s">
        <v>132</v>
      </c>
      <c r="K29" s="66">
        <v>2</v>
      </c>
      <c r="L29" s="66">
        <f t="shared" si="0"/>
        <v>10</v>
      </c>
      <c r="M29" s="66">
        <f t="shared" si="1"/>
        <v>100</v>
      </c>
      <c r="N29" s="66">
        <f t="shared" si="2"/>
        <v>200</v>
      </c>
      <c r="O29" s="99">
        <v>55</v>
      </c>
      <c r="P29" s="99">
        <v>130</v>
      </c>
      <c r="Q29" s="99">
        <v>250</v>
      </c>
      <c r="R29" s="133" t="s">
        <v>196</v>
      </c>
      <c r="S29" s="134">
        <v>0.929</v>
      </c>
      <c r="T29" s="134">
        <f t="shared" si="3"/>
        <v>51.095</v>
      </c>
      <c r="U29" s="135">
        <v>0.774</v>
      </c>
      <c r="V29" s="134">
        <f t="shared" si="4"/>
        <v>100.62</v>
      </c>
      <c r="W29" s="135">
        <v>0.752</v>
      </c>
      <c r="X29" s="134">
        <f t="shared" si="5"/>
        <v>188</v>
      </c>
      <c r="Y29" s="150"/>
    </row>
    <row r="30" ht="15.75" spans="1:25">
      <c r="A30" s="9">
        <v>27</v>
      </c>
      <c r="B30" s="10" t="s">
        <v>197</v>
      </c>
      <c r="C30" s="168" t="s">
        <v>198</v>
      </c>
      <c r="D30" s="169" t="s">
        <v>199</v>
      </c>
      <c r="E30" s="171" t="s">
        <v>200</v>
      </c>
      <c r="F30" s="171" t="s">
        <v>201</v>
      </c>
      <c r="G30" s="14" t="s">
        <v>202</v>
      </c>
      <c r="H30" s="13" t="s">
        <v>203</v>
      </c>
      <c r="I30" s="75" t="s">
        <v>31</v>
      </c>
      <c r="J30" s="171" t="s">
        <v>204</v>
      </c>
      <c r="K30" s="14">
        <v>1</v>
      </c>
      <c r="L30" s="14">
        <f t="shared" si="0"/>
        <v>5</v>
      </c>
      <c r="M30" s="14">
        <f t="shared" si="1"/>
        <v>50</v>
      </c>
      <c r="N30" s="14">
        <f t="shared" si="2"/>
        <v>100</v>
      </c>
      <c r="O30" s="76">
        <v>100</v>
      </c>
      <c r="P30" s="76">
        <v>100</v>
      </c>
      <c r="Q30" s="76">
        <v>200</v>
      </c>
      <c r="R30" s="105" t="s">
        <v>33</v>
      </c>
      <c r="S30" s="107">
        <v>0.0007</v>
      </c>
      <c r="T30" s="107">
        <f t="shared" si="3"/>
        <v>0.07</v>
      </c>
      <c r="U30" s="107">
        <v>0.0007</v>
      </c>
      <c r="V30" s="107">
        <f t="shared" si="4"/>
        <v>0.07</v>
      </c>
      <c r="W30" s="107">
        <v>0.0007</v>
      </c>
      <c r="X30" s="107">
        <f t="shared" si="5"/>
        <v>0.14</v>
      </c>
      <c r="Y30" s="140"/>
    </row>
    <row r="31" ht="15.75" spans="1:25">
      <c r="A31" s="9">
        <v>28</v>
      </c>
      <c r="B31" s="15"/>
      <c r="C31" s="172" t="s">
        <v>205</v>
      </c>
      <c r="D31" s="173" t="s">
        <v>206</v>
      </c>
      <c r="E31" s="175" t="s">
        <v>207</v>
      </c>
      <c r="F31" s="211" t="s">
        <v>208</v>
      </c>
      <c r="G31" s="19" t="s">
        <v>209</v>
      </c>
      <c r="H31" s="18" t="s">
        <v>210</v>
      </c>
      <c r="I31" s="100" t="s">
        <v>211</v>
      </c>
      <c r="J31" s="175" t="s">
        <v>212</v>
      </c>
      <c r="K31" s="19">
        <v>1</v>
      </c>
      <c r="L31" s="19">
        <f t="shared" si="0"/>
        <v>5</v>
      </c>
      <c r="M31" s="19">
        <f t="shared" si="1"/>
        <v>50</v>
      </c>
      <c r="N31" s="19">
        <f t="shared" si="2"/>
        <v>100</v>
      </c>
      <c r="O31" s="78">
        <v>100</v>
      </c>
      <c r="P31" s="78">
        <v>100</v>
      </c>
      <c r="Q31" s="78">
        <v>200</v>
      </c>
      <c r="R31" s="108" t="s">
        <v>33</v>
      </c>
      <c r="S31" s="109">
        <v>0.001</v>
      </c>
      <c r="T31" s="109">
        <f t="shared" si="3"/>
        <v>0.1</v>
      </c>
      <c r="U31" s="109">
        <v>0.001</v>
      </c>
      <c r="V31" s="109">
        <f t="shared" si="4"/>
        <v>0.1</v>
      </c>
      <c r="W31" s="109">
        <v>0.001</v>
      </c>
      <c r="X31" s="109">
        <f t="shared" si="5"/>
        <v>0.2</v>
      </c>
      <c r="Y31" s="141"/>
    </row>
    <row r="32" ht="15.75" spans="1:25">
      <c r="A32" s="9">
        <v>29</v>
      </c>
      <c r="B32" s="15"/>
      <c r="C32" s="172" t="s">
        <v>213</v>
      </c>
      <c r="D32" s="173" t="s">
        <v>214</v>
      </c>
      <c r="E32" s="175" t="s">
        <v>200</v>
      </c>
      <c r="F32" s="175" t="s">
        <v>215</v>
      </c>
      <c r="G32" s="19" t="s">
        <v>44</v>
      </c>
      <c r="H32" s="18" t="s">
        <v>216</v>
      </c>
      <c r="I32" s="77" t="s">
        <v>31</v>
      </c>
      <c r="J32" s="175" t="s">
        <v>217</v>
      </c>
      <c r="K32" s="19">
        <v>7</v>
      </c>
      <c r="L32" s="19">
        <f t="shared" si="0"/>
        <v>35</v>
      </c>
      <c r="M32" s="19">
        <f t="shared" si="1"/>
        <v>350</v>
      </c>
      <c r="N32" s="19">
        <f t="shared" si="2"/>
        <v>700</v>
      </c>
      <c r="O32" s="78">
        <v>100</v>
      </c>
      <c r="P32" s="78">
        <v>400</v>
      </c>
      <c r="Q32" s="78">
        <v>800</v>
      </c>
      <c r="R32" s="108" t="s">
        <v>33</v>
      </c>
      <c r="S32" s="109">
        <v>0.0023</v>
      </c>
      <c r="T32" s="109">
        <f t="shared" si="3"/>
        <v>0.23</v>
      </c>
      <c r="U32" s="109">
        <v>0.0023</v>
      </c>
      <c r="V32" s="109">
        <f t="shared" si="4"/>
        <v>0.92</v>
      </c>
      <c r="W32" s="111">
        <v>0.0023</v>
      </c>
      <c r="X32" s="109">
        <f t="shared" si="5"/>
        <v>1.84</v>
      </c>
      <c r="Y32" s="141"/>
    </row>
    <row r="33" ht="15.75" spans="1:25">
      <c r="A33" s="9">
        <v>30</v>
      </c>
      <c r="B33" s="15"/>
      <c r="C33" s="172" t="s">
        <v>218</v>
      </c>
      <c r="D33" s="173" t="s">
        <v>219</v>
      </c>
      <c r="E33" s="175" t="s">
        <v>200</v>
      </c>
      <c r="F33" s="175" t="s">
        <v>220</v>
      </c>
      <c r="G33" s="19" t="s">
        <v>44</v>
      </c>
      <c r="H33" s="18" t="s">
        <v>221</v>
      </c>
      <c r="I33" s="77" t="s">
        <v>31</v>
      </c>
      <c r="J33" s="175" t="s">
        <v>222</v>
      </c>
      <c r="K33" s="19">
        <v>1</v>
      </c>
      <c r="L33" s="19">
        <f t="shared" si="0"/>
        <v>5</v>
      </c>
      <c r="M33" s="19">
        <f t="shared" si="1"/>
        <v>50</v>
      </c>
      <c r="N33" s="19">
        <f t="shared" si="2"/>
        <v>100</v>
      </c>
      <c r="O33" s="78">
        <v>100</v>
      </c>
      <c r="P33" s="78">
        <v>100</v>
      </c>
      <c r="Q33" s="78">
        <v>200</v>
      </c>
      <c r="R33" s="108" t="s">
        <v>33</v>
      </c>
      <c r="S33" s="109">
        <v>0.0008</v>
      </c>
      <c r="T33" s="109">
        <f t="shared" si="3"/>
        <v>0.08</v>
      </c>
      <c r="U33" s="109">
        <v>0.0008</v>
      </c>
      <c r="V33" s="109">
        <f t="shared" si="4"/>
        <v>0.08</v>
      </c>
      <c r="W33" s="109">
        <v>0.0008</v>
      </c>
      <c r="X33" s="109">
        <f t="shared" si="5"/>
        <v>0.16</v>
      </c>
      <c r="Y33" s="141"/>
    </row>
    <row r="34" ht="15.75" spans="1:25">
      <c r="A34" s="9">
        <v>31</v>
      </c>
      <c r="B34" s="15"/>
      <c r="C34" s="172" t="s">
        <v>223</v>
      </c>
      <c r="D34" s="173" t="s">
        <v>224</v>
      </c>
      <c r="E34" s="175" t="s">
        <v>200</v>
      </c>
      <c r="F34" s="175" t="s">
        <v>225</v>
      </c>
      <c r="G34" s="19" t="s">
        <v>44</v>
      </c>
      <c r="H34" s="18" t="s">
        <v>226</v>
      </c>
      <c r="I34" s="77" t="s">
        <v>31</v>
      </c>
      <c r="J34" s="175" t="s">
        <v>227</v>
      </c>
      <c r="K34" s="19">
        <v>1</v>
      </c>
      <c r="L34" s="19">
        <f t="shared" si="0"/>
        <v>5</v>
      </c>
      <c r="M34" s="19">
        <f t="shared" si="1"/>
        <v>50</v>
      </c>
      <c r="N34" s="19">
        <f t="shared" si="2"/>
        <v>100</v>
      </c>
      <c r="O34" s="78">
        <v>100</v>
      </c>
      <c r="P34" s="78">
        <v>100</v>
      </c>
      <c r="Q34" s="78">
        <v>200</v>
      </c>
      <c r="R34" s="108" t="s">
        <v>33</v>
      </c>
      <c r="S34" s="109">
        <v>0.0011</v>
      </c>
      <c r="T34" s="109">
        <f t="shared" si="3"/>
        <v>0.11</v>
      </c>
      <c r="U34" s="109">
        <v>0.0011</v>
      </c>
      <c r="V34" s="109">
        <f t="shared" si="4"/>
        <v>0.11</v>
      </c>
      <c r="W34" s="109">
        <v>0.0011</v>
      </c>
      <c r="X34" s="109">
        <f t="shared" si="5"/>
        <v>0.22</v>
      </c>
      <c r="Y34" s="141"/>
    </row>
    <row r="35" ht="15.75" spans="1:25">
      <c r="A35" s="9">
        <v>32</v>
      </c>
      <c r="B35" s="15"/>
      <c r="C35" s="172" t="s">
        <v>228</v>
      </c>
      <c r="D35" s="173" t="s">
        <v>229</v>
      </c>
      <c r="E35" s="175" t="s">
        <v>200</v>
      </c>
      <c r="F35" s="175" t="s">
        <v>230</v>
      </c>
      <c r="G35" s="19" t="s">
        <v>44</v>
      </c>
      <c r="H35" s="18" t="s">
        <v>231</v>
      </c>
      <c r="I35" s="77" t="s">
        <v>31</v>
      </c>
      <c r="J35" s="175" t="s">
        <v>232</v>
      </c>
      <c r="K35" s="19">
        <v>1</v>
      </c>
      <c r="L35" s="19">
        <f t="shared" si="0"/>
        <v>5</v>
      </c>
      <c r="M35" s="19">
        <f t="shared" si="1"/>
        <v>50</v>
      </c>
      <c r="N35" s="19">
        <f t="shared" si="2"/>
        <v>100</v>
      </c>
      <c r="O35" s="78">
        <v>100</v>
      </c>
      <c r="P35" s="78">
        <v>100</v>
      </c>
      <c r="Q35" s="78">
        <v>200</v>
      </c>
      <c r="R35" s="108" t="s">
        <v>33</v>
      </c>
      <c r="S35" s="109">
        <v>0.0013</v>
      </c>
      <c r="T35" s="109">
        <f t="shared" si="3"/>
        <v>0.13</v>
      </c>
      <c r="U35" s="109">
        <v>0.0013</v>
      </c>
      <c r="V35" s="109">
        <f t="shared" si="4"/>
        <v>0.13</v>
      </c>
      <c r="W35" s="109">
        <v>0.0013</v>
      </c>
      <c r="X35" s="109">
        <f t="shared" si="5"/>
        <v>0.26</v>
      </c>
      <c r="Y35" s="141"/>
    </row>
    <row r="36" ht="15.75" spans="1:25">
      <c r="A36" s="9">
        <v>33</v>
      </c>
      <c r="B36" s="15"/>
      <c r="C36" s="172" t="s">
        <v>233</v>
      </c>
      <c r="D36" s="173" t="s">
        <v>234</v>
      </c>
      <c r="E36" s="175" t="s">
        <v>200</v>
      </c>
      <c r="F36" s="175" t="s">
        <v>235</v>
      </c>
      <c r="G36" s="19" t="s">
        <v>236</v>
      </c>
      <c r="H36" s="18" t="s">
        <v>237</v>
      </c>
      <c r="I36" s="101" t="s">
        <v>238</v>
      </c>
      <c r="J36" s="175" t="s">
        <v>239</v>
      </c>
      <c r="K36" s="19">
        <v>5</v>
      </c>
      <c r="L36" s="19">
        <f t="shared" ref="L36:L64" si="6">K36*5</f>
        <v>25</v>
      </c>
      <c r="M36" s="19">
        <f t="shared" ref="M36:M64" si="7">K36*50</f>
        <v>250</v>
      </c>
      <c r="N36" s="19">
        <f t="shared" ref="N36:N64" si="8">K36*100</f>
        <v>500</v>
      </c>
      <c r="O36" s="78">
        <v>100</v>
      </c>
      <c r="P36" s="78">
        <v>300</v>
      </c>
      <c r="Q36" s="78">
        <v>600</v>
      </c>
      <c r="R36" s="108" t="s">
        <v>33</v>
      </c>
      <c r="S36" s="109">
        <v>0.0005</v>
      </c>
      <c r="T36" s="109">
        <f t="shared" ref="T36:T67" si="9">S36*O36</f>
        <v>0.05</v>
      </c>
      <c r="U36" s="109">
        <v>0.0005</v>
      </c>
      <c r="V36" s="109">
        <f t="shared" ref="V36:V67" si="10">U36*P36</f>
        <v>0.15</v>
      </c>
      <c r="W36" s="109">
        <v>0.0005</v>
      </c>
      <c r="X36" s="109">
        <f t="shared" ref="X36:X67" si="11">W36*Q36</f>
        <v>0.3</v>
      </c>
      <c r="Y36" s="141"/>
    </row>
    <row r="37" ht="15.75" spans="1:25">
      <c r="A37" s="9">
        <v>34</v>
      </c>
      <c r="B37" s="15"/>
      <c r="C37" s="172" t="s">
        <v>240</v>
      </c>
      <c r="D37" s="173" t="s">
        <v>241</v>
      </c>
      <c r="E37" s="175" t="s">
        <v>200</v>
      </c>
      <c r="F37" s="175" t="s">
        <v>242</v>
      </c>
      <c r="G37" s="19" t="s">
        <v>44</v>
      </c>
      <c r="H37" s="18" t="s">
        <v>243</v>
      </c>
      <c r="I37" s="77" t="s">
        <v>31</v>
      </c>
      <c r="J37" s="175" t="s">
        <v>244</v>
      </c>
      <c r="K37" s="19">
        <v>1</v>
      </c>
      <c r="L37" s="19">
        <f t="shared" si="6"/>
        <v>5</v>
      </c>
      <c r="M37" s="19">
        <f t="shared" si="7"/>
        <v>50</v>
      </c>
      <c r="N37" s="19">
        <f t="shared" si="8"/>
        <v>100</v>
      </c>
      <c r="O37" s="78">
        <v>100</v>
      </c>
      <c r="P37" s="78">
        <v>100</v>
      </c>
      <c r="Q37" s="78">
        <v>200</v>
      </c>
      <c r="R37" s="108" t="s">
        <v>33</v>
      </c>
      <c r="S37" s="109">
        <v>0.0009</v>
      </c>
      <c r="T37" s="109">
        <f t="shared" si="9"/>
        <v>0.09</v>
      </c>
      <c r="U37" s="109">
        <v>0.0009</v>
      </c>
      <c r="V37" s="109">
        <f t="shared" si="10"/>
        <v>0.09</v>
      </c>
      <c r="W37" s="109">
        <v>0.0009</v>
      </c>
      <c r="X37" s="109">
        <f t="shared" si="11"/>
        <v>0.18</v>
      </c>
      <c r="Y37" s="141"/>
    </row>
    <row r="38" ht="15.75" spans="1:25">
      <c r="A38" s="9">
        <v>35</v>
      </c>
      <c r="B38" s="15"/>
      <c r="C38" s="172" t="s">
        <v>245</v>
      </c>
      <c r="D38" s="173" t="s">
        <v>246</v>
      </c>
      <c r="E38" s="175" t="s">
        <v>200</v>
      </c>
      <c r="F38" s="211" t="s">
        <v>247</v>
      </c>
      <c r="G38" s="19" t="s">
        <v>236</v>
      </c>
      <c r="H38" s="18" t="s">
        <v>248</v>
      </c>
      <c r="I38" s="100" t="s">
        <v>249</v>
      </c>
      <c r="J38" s="175" t="s">
        <v>250</v>
      </c>
      <c r="K38" s="19">
        <v>1</v>
      </c>
      <c r="L38" s="19">
        <f t="shared" si="6"/>
        <v>5</v>
      </c>
      <c r="M38" s="19">
        <f t="shared" si="7"/>
        <v>50</v>
      </c>
      <c r="N38" s="19">
        <f t="shared" si="8"/>
        <v>100</v>
      </c>
      <c r="O38" s="78">
        <v>10</v>
      </c>
      <c r="P38" s="78">
        <v>60</v>
      </c>
      <c r="Q38" s="78">
        <v>110</v>
      </c>
      <c r="R38" s="108" t="s">
        <v>33</v>
      </c>
      <c r="S38" s="109">
        <v>0.056</v>
      </c>
      <c r="T38" s="109">
        <f t="shared" si="9"/>
        <v>0.56</v>
      </c>
      <c r="U38" s="109">
        <v>0.056</v>
      </c>
      <c r="V38" s="109">
        <f t="shared" si="10"/>
        <v>3.36</v>
      </c>
      <c r="W38" s="109">
        <v>0.0463</v>
      </c>
      <c r="X38" s="109">
        <f t="shared" si="11"/>
        <v>5.093</v>
      </c>
      <c r="Y38" s="141"/>
    </row>
    <row r="39" ht="15.75" spans="1:25">
      <c r="A39" s="9">
        <v>36</v>
      </c>
      <c r="B39" s="15"/>
      <c r="C39" s="172" t="s">
        <v>251</v>
      </c>
      <c r="D39" s="173" t="s">
        <v>252</v>
      </c>
      <c r="E39" s="175" t="s">
        <v>200</v>
      </c>
      <c r="F39" s="175" t="s">
        <v>253</v>
      </c>
      <c r="G39" s="19" t="s">
        <v>44</v>
      </c>
      <c r="H39" s="18" t="s">
        <v>254</v>
      </c>
      <c r="I39" s="77" t="s">
        <v>31</v>
      </c>
      <c r="J39" s="175" t="s">
        <v>255</v>
      </c>
      <c r="K39" s="19">
        <v>4</v>
      </c>
      <c r="L39" s="19">
        <f t="shared" si="6"/>
        <v>20</v>
      </c>
      <c r="M39" s="19">
        <f t="shared" si="7"/>
        <v>200</v>
      </c>
      <c r="N39" s="19">
        <f t="shared" si="8"/>
        <v>400</v>
      </c>
      <c r="O39" s="78">
        <v>100</v>
      </c>
      <c r="P39" s="78">
        <v>300</v>
      </c>
      <c r="Q39" s="78">
        <v>500</v>
      </c>
      <c r="R39" s="108" t="s">
        <v>33</v>
      </c>
      <c r="S39" s="109">
        <v>0.0007</v>
      </c>
      <c r="T39" s="109">
        <f t="shared" si="9"/>
        <v>0.07</v>
      </c>
      <c r="U39" s="109">
        <v>0.0007</v>
      </c>
      <c r="V39" s="109">
        <f t="shared" si="10"/>
        <v>0.21</v>
      </c>
      <c r="W39" s="109">
        <v>0.0007</v>
      </c>
      <c r="X39" s="109">
        <f t="shared" si="11"/>
        <v>0.35</v>
      </c>
      <c r="Y39" s="141"/>
    </row>
    <row r="40" ht="15.75" spans="1:25">
      <c r="A40" s="9">
        <v>37</v>
      </c>
      <c r="B40" s="15"/>
      <c r="C40" s="172" t="s">
        <v>256</v>
      </c>
      <c r="D40" s="173" t="s">
        <v>257</v>
      </c>
      <c r="E40" s="175" t="s">
        <v>200</v>
      </c>
      <c r="F40" s="175" t="s">
        <v>258</v>
      </c>
      <c r="G40" s="19" t="s">
        <v>259</v>
      </c>
      <c r="H40" s="18" t="s">
        <v>260</v>
      </c>
      <c r="I40" s="77" t="s">
        <v>31</v>
      </c>
      <c r="J40" s="175" t="s">
        <v>261</v>
      </c>
      <c r="K40" s="19">
        <v>3</v>
      </c>
      <c r="L40" s="19">
        <f t="shared" si="6"/>
        <v>15</v>
      </c>
      <c r="M40" s="19">
        <f t="shared" si="7"/>
        <v>150</v>
      </c>
      <c r="N40" s="19">
        <f t="shared" si="8"/>
        <v>300</v>
      </c>
      <c r="O40" s="78">
        <v>100</v>
      </c>
      <c r="P40" s="78">
        <v>200</v>
      </c>
      <c r="Q40" s="78">
        <v>400</v>
      </c>
      <c r="R40" s="108" t="s">
        <v>33</v>
      </c>
      <c r="S40" s="109">
        <v>0.0009</v>
      </c>
      <c r="T40" s="109">
        <f t="shared" si="9"/>
        <v>0.09</v>
      </c>
      <c r="U40" s="109">
        <v>0.0009</v>
      </c>
      <c r="V40" s="109">
        <f t="shared" si="10"/>
        <v>0.18</v>
      </c>
      <c r="W40" s="109">
        <v>0.0009</v>
      </c>
      <c r="X40" s="109">
        <f t="shared" si="11"/>
        <v>0.36</v>
      </c>
      <c r="Y40" s="141"/>
    </row>
    <row r="41" ht="26.25" spans="1:25">
      <c r="A41" s="9">
        <v>38</v>
      </c>
      <c r="B41" s="15"/>
      <c r="C41" s="212" t="s">
        <v>262</v>
      </c>
      <c r="D41" s="173" t="s">
        <v>263</v>
      </c>
      <c r="E41" s="175" t="s">
        <v>264</v>
      </c>
      <c r="F41" s="175" t="s">
        <v>265</v>
      </c>
      <c r="G41" s="19" t="s">
        <v>266</v>
      </c>
      <c r="H41" s="18" t="s">
        <v>267</v>
      </c>
      <c r="I41" s="77" t="s">
        <v>31</v>
      </c>
      <c r="J41" s="175" t="s">
        <v>268</v>
      </c>
      <c r="K41" s="19">
        <v>1</v>
      </c>
      <c r="L41" s="19">
        <f t="shared" si="6"/>
        <v>5</v>
      </c>
      <c r="M41" s="19">
        <f t="shared" si="7"/>
        <v>50</v>
      </c>
      <c r="N41" s="19">
        <f t="shared" si="8"/>
        <v>100</v>
      </c>
      <c r="O41" s="78">
        <v>100</v>
      </c>
      <c r="P41" s="78">
        <v>100</v>
      </c>
      <c r="Q41" s="78">
        <v>200</v>
      </c>
      <c r="R41" s="108" t="s">
        <v>33</v>
      </c>
      <c r="S41" s="109">
        <v>0.0017</v>
      </c>
      <c r="T41" s="109">
        <f t="shared" si="9"/>
        <v>0.17</v>
      </c>
      <c r="U41" s="109">
        <v>0.0017</v>
      </c>
      <c r="V41" s="109">
        <f t="shared" si="10"/>
        <v>0.17</v>
      </c>
      <c r="W41" s="109">
        <v>0.0017</v>
      </c>
      <c r="X41" s="109">
        <f t="shared" si="11"/>
        <v>0.34</v>
      </c>
      <c r="Y41" s="141"/>
    </row>
    <row r="42" ht="15.75" spans="1:25">
      <c r="A42" s="9">
        <v>39</v>
      </c>
      <c r="B42" s="15"/>
      <c r="C42" s="172" t="s">
        <v>269</v>
      </c>
      <c r="D42" s="173" t="s">
        <v>270</v>
      </c>
      <c r="E42" s="175" t="s">
        <v>200</v>
      </c>
      <c r="F42" s="175" t="s">
        <v>271</v>
      </c>
      <c r="G42" s="19" t="s">
        <v>44</v>
      </c>
      <c r="H42" s="18" t="s">
        <v>272</v>
      </c>
      <c r="I42" s="77" t="s">
        <v>31</v>
      </c>
      <c r="J42" s="175" t="s">
        <v>273</v>
      </c>
      <c r="K42" s="19">
        <v>3</v>
      </c>
      <c r="L42" s="19">
        <f t="shared" si="6"/>
        <v>15</v>
      </c>
      <c r="M42" s="19">
        <f t="shared" si="7"/>
        <v>150</v>
      </c>
      <c r="N42" s="19">
        <f t="shared" si="8"/>
        <v>300</v>
      </c>
      <c r="O42" s="78">
        <v>100</v>
      </c>
      <c r="P42" s="78">
        <v>200</v>
      </c>
      <c r="Q42" s="78">
        <v>400</v>
      </c>
      <c r="R42" s="108" t="s">
        <v>33</v>
      </c>
      <c r="S42" s="109">
        <v>0.0032</v>
      </c>
      <c r="T42" s="109">
        <f t="shared" si="9"/>
        <v>0.32</v>
      </c>
      <c r="U42" s="109">
        <v>0.0032</v>
      </c>
      <c r="V42" s="109">
        <f t="shared" si="10"/>
        <v>0.64</v>
      </c>
      <c r="W42" s="109">
        <v>0.0032</v>
      </c>
      <c r="X42" s="109">
        <f t="shared" si="11"/>
        <v>1.28</v>
      </c>
      <c r="Y42" s="141"/>
    </row>
    <row r="43" ht="15.75" spans="1:25">
      <c r="A43" s="9">
        <v>40</v>
      </c>
      <c r="B43" s="15"/>
      <c r="C43" s="172" t="s">
        <v>274</v>
      </c>
      <c r="D43" s="173" t="s">
        <v>275</v>
      </c>
      <c r="E43" s="175" t="s">
        <v>200</v>
      </c>
      <c r="F43" s="211" t="s">
        <v>276</v>
      </c>
      <c r="G43" s="19" t="s">
        <v>29</v>
      </c>
      <c r="H43" s="18" t="s">
        <v>277</v>
      </c>
      <c r="I43" s="100" t="s">
        <v>278</v>
      </c>
      <c r="J43" s="175" t="s">
        <v>279</v>
      </c>
      <c r="K43" s="19">
        <v>2</v>
      </c>
      <c r="L43" s="19">
        <f t="shared" si="6"/>
        <v>10</v>
      </c>
      <c r="M43" s="19">
        <f t="shared" si="7"/>
        <v>100</v>
      </c>
      <c r="N43" s="19">
        <f t="shared" si="8"/>
        <v>200</v>
      </c>
      <c r="O43" s="78">
        <v>100</v>
      </c>
      <c r="P43" s="78">
        <v>200</v>
      </c>
      <c r="Q43" s="78">
        <v>300</v>
      </c>
      <c r="R43" s="108" t="s">
        <v>33</v>
      </c>
      <c r="S43" s="109">
        <v>0.0044</v>
      </c>
      <c r="T43" s="109">
        <f t="shared" si="9"/>
        <v>0.44</v>
      </c>
      <c r="U43" s="109">
        <v>0.0044</v>
      </c>
      <c r="V43" s="109">
        <f t="shared" si="10"/>
        <v>0.88</v>
      </c>
      <c r="W43" s="109">
        <v>0.0044</v>
      </c>
      <c r="X43" s="109">
        <f t="shared" si="11"/>
        <v>1.32</v>
      </c>
      <c r="Y43" s="141"/>
    </row>
    <row r="44" ht="15.75" spans="1:25">
      <c r="A44" s="9">
        <v>41</v>
      </c>
      <c r="B44" s="15"/>
      <c r="C44" s="172" t="s">
        <v>280</v>
      </c>
      <c r="D44" s="173" t="s">
        <v>281</v>
      </c>
      <c r="E44" s="175" t="s">
        <v>282</v>
      </c>
      <c r="F44" s="211" t="s">
        <v>283</v>
      </c>
      <c r="G44" s="19" t="s">
        <v>284</v>
      </c>
      <c r="H44" s="18" t="s">
        <v>285</v>
      </c>
      <c r="I44" s="100" t="s">
        <v>286</v>
      </c>
      <c r="J44" s="175" t="s">
        <v>287</v>
      </c>
      <c r="K44" s="19">
        <v>1</v>
      </c>
      <c r="L44" s="19">
        <f t="shared" si="6"/>
        <v>5</v>
      </c>
      <c r="M44" s="19">
        <f t="shared" si="7"/>
        <v>50</v>
      </c>
      <c r="N44" s="19">
        <f t="shared" si="8"/>
        <v>100</v>
      </c>
      <c r="O44" s="78">
        <v>20</v>
      </c>
      <c r="P44" s="78">
        <v>60</v>
      </c>
      <c r="Q44" s="78">
        <v>120</v>
      </c>
      <c r="R44" s="108" t="s">
        <v>33</v>
      </c>
      <c r="S44" s="109">
        <v>0.0281</v>
      </c>
      <c r="T44" s="109">
        <f t="shared" si="9"/>
        <v>0.562</v>
      </c>
      <c r="U44" s="109">
        <v>0.0281</v>
      </c>
      <c r="V44" s="109">
        <f t="shared" si="10"/>
        <v>1.686</v>
      </c>
      <c r="W44" s="111">
        <v>0.0232</v>
      </c>
      <c r="X44" s="109">
        <f t="shared" si="11"/>
        <v>2.784</v>
      </c>
      <c r="Y44" s="142" t="s">
        <v>288</v>
      </c>
    </row>
    <row r="45" ht="15.75" spans="1:25">
      <c r="A45" s="9">
        <v>42</v>
      </c>
      <c r="B45" s="15"/>
      <c r="C45" s="172" t="s">
        <v>289</v>
      </c>
      <c r="D45" s="173" t="s">
        <v>290</v>
      </c>
      <c r="E45" s="175" t="s">
        <v>200</v>
      </c>
      <c r="F45" s="175" t="s">
        <v>291</v>
      </c>
      <c r="G45" s="19" t="s">
        <v>44</v>
      </c>
      <c r="H45" s="18" t="s">
        <v>292</v>
      </c>
      <c r="I45" s="77" t="s">
        <v>31</v>
      </c>
      <c r="J45" s="175" t="s">
        <v>293</v>
      </c>
      <c r="K45" s="19">
        <v>2</v>
      </c>
      <c r="L45" s="19">
        <f t="shared" si="6"/>
        <v>10</v>
      </c>
      <c r="M45" s="19">
        <f t="shared" si="7"/>
        <v>100</v>
      </c>
      <c r="N45" s="19">
        <f t="shared" si="8"/>
        <v>200</v>
      </c>
      <c r="O45" s="78">
        <v>100</v>
      </c>
      <c r="P45" s="78">
        <v>200</v>
      </c>
      <c r="Q45" s="78">
        <v>300</v>
      </c>
      <c r="R45" s="108" t="s">
        <v>33</v>
      </c>
      <c r="S45" s="109">
        <v>0.0008</v>
      </c>
      <c r="T45" s="109">
        <f t="shared" si="9"/>
        <v>0.08</v>
      </c>
      <c r="U45" s="109">
        <v>0.0008</v>
      </c>
      <c r="V45" s="109">
        <f t="shared" si="10"/>
        <v>0.16</v>
      </c>
      <c r="W45" s="109">
        <v>0.0008</v>
      </c>
      <c r="X45" s="109">
        <f t="shared" si="11"/>
        <v>0.24</v>
      </c>
      <c r="Y45" s="141"/>
    </row>
    <row r="46" ht="15.75" spans="1:25">
      <c r="A46" s="9">
        <v>43</v>
      </c>
      <c r="B46" s="15"/>
      <c r="C46" s="172" t="s">
        <v>294</v>
      </c>
      <c r="D46" s="173" t="s">
        <v>295</v>
      </c>
      <c r="E46" s="175" t="s">
        <v>200</v>
      </c>
      <c r="F46" s="175" t="s">
        <v>296</v>
      </c>
      <c r="G46" s="19" t="s">
        <v>44</v>
      </c>
      <c r="H46" s="18" t="s">
        <v>297</v>
      </c>
      <c r="I46" s="77" t="s">
        <v>31</v>
      </c>
      <c r="J46" s="175" t="s">
        <v>298</v>
      </c>
      <c r="K46" s="19">
        <v>1</v>
      </c>
      <c r="L46" s="19">
        <f t="shared" si="6"/>
        <v>5</v>
      </c>
      <c r="M46" s="19">
        <f t="shared" si="7"/>
        <v>50</v>
      </c>
      <c r="N46" s="19">
        <f t="shared" si="8"/>
        <v>100</v>
      </c>
      <c r="O46" s="78">
        <v>100</v>
      </c>
      <c r="P46" s="78">
        <v>100</v>
      </c>
      <c r="Q46" s="78">
        <v>200</v>
      </c>
      <c r="R46" s="108" t="s">
        <v>33</v>
      </c>
      <c r="S46" s="109">
        <v>0.0012</v>
      </c>
      <c r="T46" s="109">
        <f t="shared" si="9"/>
        <v>0.12</v>
      </c>
      <c r="U46" s="109">
        <v>0.0012</v>
      </c>
      <c r="V46" s="109">
        <f t="shared" si="10"/>
        <v>0.12</v>
      </c>
      <c r="W46" s="109">
        <v>0.0012</v>
      </c>
      <c r="X46" s="109">
        <f t="shared" si="11"/>
        <v>0.24</v>
      </c>
      <c r="Y46" s="141"/>
    </row>
    <row r="47" ht="15.75" spans="1:25">
      <c r="A47" s="9">
        <v>44</v>
      </c>
      <c r="B47" s="15"/>
      <c r="C47" s="172" t="s">
        <v>299</v>
      </c>
      <c r="D47" s="173" t="s">
        <v>300</v>
      </c>
      <c r="E47" s="175" t="s">
        <v>200</v>
      </c>
      <c r="F47" s="175" t="s">
        <v>301</v>
      </c>
      <c r="G47" s="19" t="s">
        <v>44</v>
      </c>
      <c r="H47" s="18" t="s">
        <v>302</v>
      </c>
      <c r="I47" s="77" t="s">
        <v>31</v>
      </c>
      <c r="J47" s="175" t="s">
        <v>303</v>
      </c>
      <c r="K47" s="19">
        <v>1</v>
      </c>
      <c r="L47" s="19">
        <f t="shared" si="6"/>
        <v>5</v>
      </c>
      <c r="M47" s="19">
        <f t="shared" si="7"/>
        <v>50</v>
      </c>
      <c r="N47" s="19">
        <f t="shared" si="8"/>
        <v>100</v>
      </c>
      <c r="O47" s="78">
        <v>100</v>
      </c>
      <c r="P47" s="78">
        <v>100</v>
      </c>
      <c r="Q47" s="78">
        <v>200</v>
      </c>
      <c r="R47" s="108" t="s">
        <v>33</v>
      </c>
      <c r="S47" s="109">
        <v>0.0009</v>
      </c>
      <c r="T47" s="109">
        <f t="shared" si="9"/>
        <v>0.09</v>
      </c>
      <c r="U47" s="109">
        <v>0.0009</v>
      </c>
      <c r="V47" s="109">
        <f t="shared" si="10"/>
        <v>0.09</v>
      </c>
      <c r="W47" s="109">
        <v>0.0009</v>
      </c>
      <c r="X47" s="109">
        <f t="shared" si="11"/>
        <v>0.18</v>
      </c>
      <c r="Y47" s="141"/>
    </row>
    <row r="48" ht="15.75" spans="1:25">
      <c r="A48" s="9">
        <v>45</v>
      </c>
      <c r="B48" s="15"/>
      <c r="C48" s="172" t="s">
        <v>304</v>
      </c>
      <c r="D48" s="173" t="s">
        <v>305</v>
      </c>
      <c r="E48" s="175" t="s">
        <v>200</v>
      </c>
      <c r="F48" s="175" t="s">
        <v>306</v>
      </c>
      <c r="G48" s="19" t="s">
        <v>44</v>
      </c>
      <c r="H48" s="18" t="s">
        <v>307</v>
      </c>
      <c r="I48" s="77" t="s">
        <v>31</v>
      </c>
      <c r="J48" s="175" t="s">
        <v>308</v>
      </c>
      <c r="K48" s="19">
        <v>1</v>
      </c>
      <c r="L48" s="19">
        <f t="shared" si="6"/>
        <v>5</v>
      </c>
      <c r="M48" s="19">
        <f t="shared" si="7"/>
        <v>50</v>
      </c>
      <c r="N48" s="19">
        <f t="shared" si="8"/>
        <v>100</v>
      </c>
      <c r="O48" s="78">
        <v>100</v>
      </c>
      <c r="P48" s="78">
        <v>100</v>
      </c>
      <c r="Q48" s="78">
        <v>200</v>
      </c>
      <c r="R48" s="108" t="s">
        <v>33</v>
      </c>
      <c r="S48" s="109">
        <v>0.0009</v>
      </c>
      <c r="T48" s="109">
        <f t="shared" si="9"/>
        <v>0.09</v>
      </c>
      <c r="U48" s="109">
        <v>0.0009</v>
      </c>
      <c r="V48" s="109">
        <f t="shared" si="10"/>
        <v>0.09</v>
      </c>
      <c r="W48" s="109">
        <v>0.0009</v>
      </c>
      <c r="X48" s="109">
        <f t="shared" si="11"/>
        <v>0.18</v>
      </c>
      <c r="Y48" s="141"/>
    </row>
    <row r="49" ht="15.75" spans="1:25">
      <c r="A49" s="9">
        <v>46</v>
      </c>
      <c r="B49" s="15"/>
      <c r="C49" s="172" t="s">
        <v>309</v>
      </c>
      <c r="D49" s="173" t="s">
        <v>310</v>
      </c>
      <c r="E49" s="175" t="s">
        <v>200</v>
      </c>
      <c r="F49" s="175" t="s">
        <v>311</v>
      </c>
      <c r="G49" s="19" t="s">
        <v>44</v>
      </c>
      <c r="H49" s="18" t="s">
        <v>312</v>
      </c>
      <c r="I49" s="77" t="s">
        <v>31</v>
      </c>
      <c r="J49" s="175" t="s">
        <v>313</v>
      </c>
      <c r="K49" s="19">
        <v>1</v>
      </c>
      <c r="L49" s="19">
        <f t="shared" si="6"/>
        <v>5</v>
      </c>
      <c r="M49" s="19">
        <f t="shared" si="7"/>
        <v>50</v>
      </c>
      <c r="N49" s="19">
        <f t="shared" si="8"/>
        <v>100</v>
      </c>
      <c r="O49" s="78">
        <v>100</v>
      </c>
      <c r="P49" s="78">
        <v>100</v>
      </c>
      <c r="Q49" s="78">
        <v>200</v>
      </c>
      <c r="R49" s="108" t="s">
        <v>33</v>
      </c>
      <c r="S49" s="109">
        <v>0.0012</v>
      </c>
      <c r="T49" s="109">
        <f t="shared" si="9"/>
        <v>0.12</v>
      </c>
      <c r="U49" s="109">
        <v>0.0012</v>
      </c>
      <c r="V49" s="109">
        <f t="shared" si="10"/>
        <v>0.12</v>
      </c>
      <c r="W49" s="109">
        <v>0.0012</v>
      </c>
      <c r="X49" s="109">
        <f t="shared" si="11"/>
        <v>0.24</v>
      </c>
      <c r="Y49" s="141"/>
    </row>
    <row r="50" ht="15.75" spans="1:25">
      <c r="A50" s="9">
        <v>47</v>
      </c>
      <c r="B50" s="56"/>
      <c r="C50" s="187" t="s">
        <v>314</v>
      </c>
      <c r="D50" s="188" t="s">
        <v>315</v>
      </c>
      <c r="E50" s="189" t="s">
        <v>200</v>
      </c>
      <c r="F50" s="189" t="s">
        <v>316</v>
      </c>
      <c r="G50" s="38" t="s">
        <v>202</v>
      </c>
      <c r="H50" s="40" t="s">
        <v>317</v>
      </c>
      <c r="I50" s="94" t="s">
        <v>31</v>
      </c>
      <c r="J50" s="189" t="s">
        <v>318</v>
      </c>
      <c r="K50" s="38">
        <v>1</v>
      </c>
      <c r="L50" s="38">
        <f t="shared" si="6"/>
        <v>5</v>
      </c>
      <c r="M50" s="38">
        <f t="shared" si="7"/>
        <v>50</v>
      </c>
      <c r="N50" s="38">
        <f t="shared" si="8"/>
        <v>100</v>
      </c>
      <c r="O50" s="84">
        <v>100</v>
      </c>
      <c r="P50" s="84">
        <v>100</v>
      </c>
      <c r="Q50" s="84">
        <v>200</v>
      </c>
      <c r="R50" s="119" t="s">
        <v>33</v>
      </c>
      <c r="S50" s="121">
        <v>0.0011</v>
      </c>
      <c r="T50" s="121">
        <f t="shared" si="9"/>
        <v>0.11</v>
      </c>
      <c r="U50" s="121">
        <v>0.0011</v>
      </c>
      <c r="V50" s="121">
        <f t="shared" si="10"/>
        <v>0.11</v>
      </c>
      <c r="W50" s="121">
        <v>0.0011</v>
      </c>
      <c r="X50" s="121">
        <f t="shared" si="11"/>
        <v>0.22</v>
      </c>
      <c r="Y50" s="148"/>
    </row>
    <row r="51" ht="15.75" spans="1:25">
      <c r="A51" s="9">
        <v>48</v>
      </c>
      <c r="B51" s="10" t="s">
        <v>319</v>
      </c>
      <c r="C51" s="168" t="s">
        <v>320</v>
      </c>
      <c r="D51" s="169" t="s">
        <v>321</v>
      </c>
      <c r="E51" s="213" t="s">
        <v>170</v>
      </c>
      <c r="F51" s="171" t="s">
        <v>322</v>
      </c>
      <c r="G51" s="14" t="s">
        <v>323</v>
      </c>
      <c r="H51" s="13" t="s">
        <v>324</v>
      </c>
      <c r="I51" s="75" t="s">
        <v>31</v>
      </c>
      <c r="J51" s="82" t="s">
        <v>132</v>
      </c>
      <c r="K51" s="14">
        <v>1</v>
      </c>
      <c r="L51" s="14">
        <f t="shared" si="6"/>
        <v>5</v>
      </c>
      <c r="M51" s="14">
        <f t="shared" si="7"/>
        <v>50</v>
      </c>
      <c r="N51" s="14">
        <f t="shared" si="8"/>
        <v>100</v>
      </c>
      <c r="O51" s="76">
        <v>7</v>
      </c>
      <c r="P51" s="76">
        <v>53</v>
      </c>
      <c r="Q51" s="76">
        <v>105</v>
      </c>
      <c r="R51" s="105" t="s">
        <v>33</v>
      </c>
      <c r="S51" s="129">
        <v>0.6005</v>
      </c>
      <c r="T51" s="107">
        <f t="shared" si="9"/>
        <v>4.2035</v>
      </c>
      <c r="U51" s="107">
        <v>0.4076</v>
      </c>
      <c r="V51" s="107">
        <f t="shared" si="10"/>
        <v>21.6028</v>
      </c>
      <c r="W51" s="107">
        <v>0.3391</v>
      </c>
      <c r="X51" s="107">
        <f t="shared" si="11"/>
        <v>35.6055</v>
      </c>
      <c r="Y51" s="140"/>
    </row>
    <row r="52" ht="15.75" spans="1:25">
      <c r="A52" s="9">
        <v>49</v>
      </c>
      <c r="B52" s="15"/>
      <c r="C52" s="179" t="s">
        <v>325</v>
      </c>
      <c r="D52" s="180" t="s">
        <v>326</v>
      </c>
      <c r="E52" s="181" t="s">
        <v>327</v>
      </c>
      <c r="F52" s="180" t="s">
        <v>328</v>
      </c>
      <c r="G52" s="27" t="s">
        <v>329</v>
      </c>
      <c r="H52" s="25"/>
      <c r="I52" s="102" t="s">
        <v>31</v>
      </c>
      <c r="J52" s="102" t="s">
        <v>132</v>
      </c>
      <c r="K52" s="27">
        <v>1</v>
      </c>
      <c r="L52" s="27">
        <f t="shared" si="6"/>
        <v>5</v>
      </c>
      <c r="M52" s="27">
        <f t="shared" si="7"/>
        <v>50</v>
      </c>
      <c r="N52" s="27">
        <f t="shared" si="8"/>
        <v>100</v>
      </c>
      <c r="O52" s="80">
        <v>135</v>
      </c>
      <c r="P52" s="80">
        <v>135</v>
      </c>
      <c r="Q52" s="80">
        <v>135</v>
      </c>
      <c r="R52" s="136" t="s">
        <v>196</v>
      </c>
      <c r="S52" s="113">
        <v>0.38</v>
      </c>
      <c r="T52" s="113">
        <f t="shared" si="9"/>
        <v>51.3</v>
      </c>
      <c r="U52" s="113">
        <v>0.38</v>
      </c>
      <c r="V52" s="113">
        <f t="shared" si="10"/>
        <v>51.3</v>
      </c>
      <c r="W52" s="113">
        <v>0.38</v>
      </c>
      <c r="X52" s="113">
        <f t="shared" si="11"/>
        <v>51.3</v>
      </c>
      <c r="Y52" s="142" t="s">
        <v>330</v>
      </c>
    </row>
    <row r="53" ht="15.75" spans="1:25">
      <c r="A53" s="9">
        <v>50</v>
      </c>
      <c r="B53" s="15"/>
      <c r="C53" s="179" t="s">
        <v>331</v>
      </c>
      <c r="D53" s="180" t="s">
        <v>332</v>
      </c>
      <c r="E53" s="183" t="s">
        <v>151</v>
      </c>
      <c r="F53" s="183" t="s">
        <v>333</v>
      </c>
      <c r="G53" s="27" t="s">
        <v>162</v>
      </c>
      <c r="H53" s="25"/>
      <c r="I53" s="102" t="s">
        <v>31</v>
      </c>
      <c r="J53" s="102" t="s">
        <v>132</v>
      </c>
      <c r="K53" s="27">
        <v>1</v>
      </c>
      <c r="L53" s="27">
        <f t="shared" si="6"/>
        <v>5</v>
      </c>
      <c r="M53" s="27">
        <f t="shared" si="7"/>
        <v>50</v>
      </c>
      <c r="N53" s="27">
        <f t="shared" si="8"/>
        <v>100</v>
      </c>
      <c r="O53" s="80">
        <v>10</v>
      </c>
      <c r="P53" s="80">
        <v>55</v>
      </c>
      <c r="Q53" s="80">
        <v>120</v>
      </c>
      <c r="R53" s="112" t="s">
        <v>334</v>
      </c>
      <c r="S53" s="113">
        <v>0.79</v>
      </c>
      <c r="T53" s="113">
        <f t="shared" si="9"/>
        <v>7.9</v>
      </c>
      <c r="U53" s="113">
        <v>0.79</v>
      </c>
      <c r="V53" s="113">
        <f t="shared" si="10"/>
        <v>43.45</v>
      </c>
      <c r="W53" s="113">
        <v>0.79</v>
      </c>
      <c r="X53" s="113">
        <f t="shared" si="11"/>
        <v>94.8</v>
      </c>
      <c r="Y53" s="142"/>
    </row>
    <row r="54" ht="15.75" spans="1:25">
      <c r="A54" s="9">
        <v>51</v>
      </c>
      <c r="B54" s="15"/>
      <c r="C54" s="172" t="s">
        <v>335</v>
      </c>
      <c r="D54" s="173" t="s">
        <v>336</v>
      </c>
      <c r="E54" s="174" t="s">
        <v>337</v>
      </c>
      <c r="F54" s="175" t="s">
        <v>338</v>
      </c>
      <c r="G54" s="19" t="s">
        <v>339</v>
      </c>
      <c r="H54" s="18" t="s">
        <v>340</v>
      </c>
      <c r="I54" s="77" t="s">
        <v>31</v>
      </c>
      <c r="J54" s="91" t="s">
        <v>132</v>
      </c>
      <c r="K54" s="19">
        <v>1</v>
      </c>
      <c r="L54" s="19">
        <f t="shared" si="6"/>
        <v>5</v>
      </c>
      <c r="M54" s="19">
        <f t="shared" si="7"/>
        <v>50</v>
      </c>
      <c r="N54" s="19">
        <f t="shared" si="8"/>
        <v>100</v>
      </c>
      <c r="O54" s="78">
        <v>10</v>
      </c>
      <c r="P54" s="78">
        <v>53</v>
      </c>
      <c r="Q54" s="78">
        <v>105</v>
      </c>
      <c r="R54" s="108" t="s">
        <v>33</v>
      </c>
      <c r="S54" s="109">
        <v>0.1265</v>
      </c>
      <c r="T54" s="109">
        <f t="shared" si="9"/>
        <v>1.265</v>
      </c>
      <c r="U54" s="109">
        <v>0.1076</v>
      </c>
      <c r="V54" s="109">
        <f t="shared" si="10"/>
        <v>5.7028</v>
      </c>
      <c r="W54" s="109">
        <v>0.1076</v>
      </c>
      <c r="X54" s="109">
        <f t="shared" si="11"/>
        <v>11.298</v>
      </c>
      <c r="Y54" s="141"/>
    </row>
    <row r="55" ht="15.75" spans="1:25">
      <c r="A55" s="9">
        <v>52</v>
      </c>
      <c r="B55" s="15"/>
      <c r="C55" s="179" t="s">
        <v>341</v>
      </c>
      <c r="D55" s="180" t="s">
        <v>342</v>
      </c>
      <c r="E55" s="181" t="s">
        <v>343</v>
      </c>
      <c r="F55" s="183" t="s">
        <v>344</v>
      </c>
      <c r="G55" s="27" t="s">
        <v>345</v>
      </c>
      <c r="H55" s="27"/>
      <c r="I55" s="102" t="s">
        <v>31</v>
      </c>
      <c r="J55" s="102" t="s">
        <v>132</v>
      </c>
      <c r="K55" s="27">
        <v>1</v>
      </c>
      <c r="L55" s="27">
        <f t="shared" si="6"/>
        <v>5</v>
      </c>
      <c r="M55" s="27">
        <f t="shared" si="7"/>
        <v>50</v>
      </c>
      <c r="N55" s="27">
        <f t="shared" si="8"/>
        <v>100</v>
      </c>
      <c r="O55" s="80"/>
      <c r="P55" s="80"/>
      <c r="Q55" s="80"/>
      <c r="R55" s="27"/>
      <c r="S55" s="113"/>
      <c r="T55" s="113">
        <f t="shared" si="9"/>
        <v>0</v>
      </c>
      <c r="U55" s="113"/>
      <c r="V55" s="113">
        <f t="shared" si="10"/>
        <v>0</v>
      </c>
      <c r="W55" s="113"/>
      <c r="X55" s="113">
        <f t="shared" si="11"/>
        <v>0</v>
      </c>
      <c r="Y55" s="142" t="s">
        <v>346</v>
      </c>
    </row>
    <row r="56" ht="15.75" spans="1:25">
      <c r="A56" s="9">
        <v>53</v>
      </c>
      <c r="B56" s="15"/>
      <c r="C56" s="172" t="s">
        <v>347</v>
      </c>
      <c r="D56" s="173" t="s">
        <v>348</v>
      </c>
      <c r="E56" s="175" t="s">
        <v>349</v>
      </c>
      <c r="F56" s="175" t="s">
        <v>350</v>
      </c>
      <c r="G56" s="19" t="s">
        <v>351</v>
      </c>
      <c r="H56" s="18" t="s">
        <v>352</v>
      </c>
      <c r="I56" s="77" t="s">
        <v>31</v>
      </c>
      <c r="J56" s="91" t="s">
        <v>132</v>
      </c>
      <c r="K56" s="19">
        <v>1</v>
      </c>
      <c r="L56" s="19">
        <f t="shared" si="6"/>
        <v>5</v>
      </c>
      <c r="M56" s="19">
        <f t="shared" si="7"/>
        <v>50</v>
      </c>
      <c r="N56" s="19">
        <f t="shared" si="8"/>
        <v>100</v>
      </c>
      <c r="O56" s="78">
        <v>7</v>
      </c>
      <c r="P56" s="78">
        <v>53</v>
      </c>
      <c r="Q56" s="78">
        <v>105</v>
      </c>
      <c r="R56" s="108" t="s">
        <v>33</v>
      </c>
      <c r="S56" s="111">
        <v>1.5292</v>
      </c>
      <c r="T56" s="109">
        <f t="shared" si="9"/>
        <v>10.7044</v>
      </c>
      <c r="U56" s="109">
        <v>1.0514</v>
      </c>
      <c r="V56" s="109">
        <f t="shared" si="10"/>
        <v>55.7242</v>
      </c>
      <c r="W56" s="109">
        <v>0.8855</v>
      </c>
      <c r="X56" s="109">
        <f t="shared" si="11"/>
        <v>92.9775</v>
      </c>
      <c r="Y56" s="141"/>
    </row>
    <row r="57" ht="15.75" spans="1:25">
      <c r="A57" s="9">
        <v>54</v>
      </c>
      <c r="B57" s="15"/>
      <c r="C57" s="179" t="s">
        <v>353</v>
      </c>
      <c r="D57" s="180" t="s">
        <v>354</v>
      </c>
      <c r="E57" s="183" t="s">
        <v>355</v>
      </c>
      <c r="F57" s="183" t="s">
        <v>356</v>
      </c>
      <c r="G57" s="27" t="s">
        <v>351</v>
      </c>
      <c r="H57" s="25"/>
      <c r="I57" s="102" t="s">
        <v>31</v>
      </c>
      <c r="J57" s="102" t="s">
        <v>132</v>
      </c>
      <c r="K57" s="27">
        <v>1</v>
      </c>
      <c r="L57" s="27">
        <f t="shared" si="6"/>
        <v>5</v>
      </c>
      <c r="M57" s="27">
        <f t="shared" si="7"/>
        <v>50</v>
      </c>
      <c r="N57" s="27">
        <f t="shared" si="8"/>
        <v>100</v>
      </c>
      <c r="O57" s="80">
        <v>10</v>
      </c>
      <c r="P57" s="80">
        <v>60</v>
      </c>
      <c r="Q57" s="80">
        <v>120</v>
      </c>
      <c r="R57" s="136" t="s">
        <v>334</v>
      </c>
      <c r="S57" s="113">
        <v>1.15</v>
      </c>
      <c r="T57" s="113">
        <f t="shared" si="9"/>
        <v>11.5</v>
      </c>
      <c r="U57" s="113">
        <v>1.15</v>
      </c>
      <c r="V57" s="113">
        <f t="shared" si="10"/>
        <v>69</v>
      </c>
      <c r="W57" s="113">
        <v>1.15</v>
      </c>
      <c r="X57" s="113">
        <f t="shared" si="11"/>
        <v>138</v>
      </c>
      <c r="Y57" s="142"/>
    </row>
    <row r="58" ht="15.75" spans="1:25">
      <c r="A58" s="9">
        <v>55</v>
      </c>
      <c r="B58" s="15"/>
      <c r="C58" s="172" t="s">
        <v>357</v>
      </c>
      <c r="D58" s="173" t="s">
        <v>358</v>
      </c>
      <c r="E58" s="175" t="s">
        <v>349</v>
      </c>
      <c r="F58" s="175" t="s">
        <v>359</v>
      </c>
      <c r="G58" s="19" t="s">
        <v>345</v>
      </c>
      <c r="H58" s="18" t="s">
        <v>360</v>
      </c>
      <c r="I58" s="77" t="s">
        <v>31</v>
      </c>
      <c r="J58" s="91" t="s">
        <v>132</v>
      </c>
      <c r="K58" s="19">
        <v>1</v>
      </c>
      <c r="L58" s="19">
        <f t="shared" si="6"/>
        <v>5</v>
      </c>
      <c r="M58" s="19">
        <f t="shared" si="7"/>
        <v>50</v>
      </c>
      <c r="N58" s="19">
        <f t="shared" si="8"/>
        <v>100</v>
      </c>
      <c r="O58" s="78">
        <v>7</v>
      </c>
      <c r="P58" s="78">
        <v>53</v>
      </c>
      <c r="Q58" s="78">
        <v>105</v>
      </c>
      <c r="R58" s="108" t="s">
        <v>33</v>
      </c>
      <c r="S58" s="111">
        <v>10.4212</v>
      </c>
      <c r="T58" s="109">
        <f t="shared" si="9"/>
        <v>72.9484</v>
      </c>
      <c r="U58" s="109">
        <v>9.5141</v>
      </c>
      <c r="V58" s="109">
        <f t="shared" si="10"/>
        <v>504.2473</v>
      </c>
      <c r="W58" s="109">
        <v>9.3302</v>
      </c>
      <c r="X58" s="109">
        <f t="shared" si="11"/>
        <v>979.671</v>
      </c>
      <c r="Y58" s="141"/>
    </row>
    <row r="59" ht="15.75" spans="1:25">
      <c r="A59" s="9">
        <v>56</v>
      </c>
      <c r="B59" s="15"/>
      <c r="C59" s="172" t="s">
        <v>361</v>
      </c>
      <c r="D59" s="173" t="s">
        <v>362</v>
      </c>
      <c r="E59" s="175" t="s">
        <v>349</v>
      </c>
      <c r="F59" s="175" t="s">
        <v>363</v>
      </c>
      <c r="G59" s="19" t="s">
        <v>351</v>
      </c>
      <c r="H59" s="18" t="s">
        <v>364</v>
      </c>
      <c r="I59" s="77" t="s">
        <v>31</v>
      </c>
      <c r="J59" s="91" t="s">
        <v>132</v>
      </c>
      <c r="K59" s="19">
        <v>1</v>
      </c>
      <c r="L59" s="19">
        <f t="shared" si="6"/>
        <v>5</v>
      </c>
      <c r="M59" s="19">
        <f t="shared" si="7"/>
        <v>50</v>
      </c>
      <c r="N59" s="19">
        <f t="shared" si="8"/>
        <v>100</v>
      </c>
      <c r="O59" s="78">
        <v>7</v>
      </c>
      <c r="P59" s="78">
        <v>53</v>
      </c>
      <c r="Q59" s="78">
        <v>105</v>
      </c>
      <c r="R59" s="108" t="s">
        <v>33</v>
      </c>
      <c r="S59" s="111">
        <v>3.9348</v>
      </c>
      <c r="T59" s="109">
        <f t="shared" si="9"/>
        <v>27.5436</v>
      </c>
      <c r="U59" s="109">
        <v>2.6887</v>
      </c>
      <c r="V59" s="109">
        <f t="shared" si="10"/>
        <v>142.5011</v>
      </c>
      <c r="W59" s="109">
        <v>2.2559</v>
      </c>
      <c r="X59" s="109">
        <f t="shared" si="11"/>
        <v>236.8695</v>
      </c>
      <c r="Y59" s="141"/>
    </row>
    <row r="60" ht="15.75" spans="1:25">
      <c r="A60" s="9">
        <v>57</v>
      </c>
      <c r="B60" s="56"/>
      <c r="C60" s="187" t="s">
        <v>365</v>
      </c>
      <c r="D60" s="188" t="s">
        <v>366</v>
      </c>
      <c r="E60" s="189" t="s">
        <v>367</v>
      </c>
      <c r="F60" s="189" t="s">
        <v>368</v>
      </c>
      <c r="G60" s="38" t="s">
        <v>369</v>
      </c>
      <c r="H60" s="40" t="s">
        <v>370</v>
      </c>
      <c r="I60" s="94" t="s">
        <v>31</v>
      </c>
      <c r="J60" s="83" t="s">
        <v>132</v>
      </c>
      <c r="K60" s="38">
        <v>1</v>
      </c>
      <c r="L60" s="38">
        <f t="shared" si="6"/>
        <v>5</v>
      </c>
      <c r="M60" s="38">
        <f t="shared" si="7"/>
        <v>50</v>
      </c>
      <c r="N60" s="38">
        <f t="shared" si="8"/>
        <v>100</v>
      </c>
      <c r="O60" s="84">
        <v>7</v>
      </c>
      <c r="P60" s="84">
        <v>53</v>
      </c>
      <c r="Q60" s="84">
        <v>105</v>
      </c>
      <c r="R60" s="119" t="s">
        <v>33</v>
      </c>
      <c r="S60" s="130">
        <v>0.8422</v>
      </c>
      <c r="T60" s="121">
        <f t="shared" si="9"/>
        <v>5.8954</v>
      </c>
      <c r="U60" s="121">
        <v>0.5753</v>
      </c>
      <c r="V60" s="121">
        <f t="shared" si="10"/>
        <v>30.4909</v>
      </c>
      <c r="W60" s="121">
        <v>0.4833</v>
      </c>
      <c r="X60" s="121">
        <f t="shared" si="11"/>
        <v>50.7465</v>
      </c>
      <c r="Y60" s="148"/>
    </row>
    <row r="61" ht="26.25" spans="1:25">
      <c r="A61" s="9">
        <v>58</v>
      </c>
      <c r="B61" s="10" t="s">
        <v>371</v>
      </c>
      <c r="C61" s="214" t="s">
        <v>372</v>
      </c>
      <c r="D61" s="215" t="s">
        <v>373</v>
      </c>
      <c r="E61" s="216" t="s">
        <v>27</v>
      </c>
      <c r="F61" s="215" t="s">
        <v>374</v>
      </c>
      <c r="G61" s="72" t="s">
        <v>27</v>
      </c>
      <c r="H61" s="71"/>
      <c r="I61" s="103" t="s">
        <v>31</v>
      </c>
      <c r="J61" s="103" t="s">
        <v>132</v>
      </c>
      <c r="K61" s="71">
        <v>1</v>
      </c>
      <c r="L61" s="71">
        <f t="shared" si="6"/>
        <v>5</v>
      </c>
      <c r="M61" s="71">
        <f t="shared" si="7"/>
        <v>50</v>
      </c>
      <c r="N61" s="71">
        <f t="shared" si="8"/>
        <v>100</v>
      </c>
      <c r="O61" s="104">
        <v>10</v>
      </c>
      <c r="P61" s="104">
        <v>60</v>
      </c>
      <c r="Q61" s="104">
        <v>120</v>
      </c>
      <c r="R61" s="137" t="s">
        <v>375</v>
      </c>
      <c r="S61" s="138">
        <v>0.15</v>
      </c>
      <c r="T61" s="138">
        <f t="shared" si="9"/>
        <v>1.5</v>
      </c>
      <c r="U61" s="138">
        <v>0.15</v>
      </c>
      <c r="V61" s="138">
        <f t="shared" si="10"/>
        <v>9</v>
      </c>
      <c r="W61" s="138">
        <v>0.15</v>
      </c>
      <c r="X61" s="138">
        <f t="shared" si="11"/>
        <v>18</v>
      </c>
      <c r="Y61" s="151"/>
    </row>
    <row r="62" ht="15.75" spans="1:25">
      <c r="A62" s="9">
        <v>59</v>
      </c>
      <c r="B62" s="15"/>
      <c r="C62" s="217" t="s">
        <v>376</v>
      </c>
      <c r="D62" s="175" t="s">
        <v>377</v>
      </c>
      <c r="E62" s="174" t="s">
        <v>27</v>
      </c>
      <c r="F62" s="175" t="s">
        <v>378</v>
      </c>
      <c r="G62" s="19" t="s">
        <v>178</v>
      </c>
      <c r="H62" s="19" t="s">
        <v>379</v>
      </c>
      <c r="I62" s="77" t="s">
        <v>31</v>
      </c>
      <c r="J62" s="91" t="s">
        <v>132</v>
      </c>
      <c r="K62" s="19">
        <v>1</v>
      </c>
      <c r="L62" s="19">
        <f t="shared" si="6"/>
        <v>5</v>
      </c>
      <c r="M62" s="19">
        <f t="shared" si="7"/>
        <v>50</v>
      </c>
      <c r="N62" s="19">
        <f t="shared" si="8"/>
        <v>100</v>
      </c>
      <c r="O62" s="78">
        <v>7</v>
      </c>
      <c r="P62" s="78">
        <v>53</v>
      </c>
      <c r="Q62" s="78">
        <v>105</v>
      </c>
      <c r="R62" s="108" t="s">
        <v>33</v>
      </c>
      <c r="S62" s="111">
        <v>0.2235</v>
      </c>
      <c r="T62" s="109">
        <f t="shared" si="9"/>
        <v>1.5645</v>
      </c>
      <c r="U62" s="109">
        <v>0.1488</v>
      </c>
      <c r="V62" s="109">
        <f t="shared" si="10"/>
        <v>7.8864</v>
      </c>
      <c r="W62" s="109">
        <v>0.1206</v>
      </c>
      <c r="X62" s="109">
        <f t="shared" si="11"/>
        <v>12.663</v>
      </c>
      <c r="Y62" s="141"/>
    </row>
    <row r="63" ht="15.75" spans="1:25">
      <c r="A63" s="9">
        <v>60</v>
      </c>
      <c r="B63" s="15"/>
      <c r="C63" s="217" t="s">
        <v>380</v>
      </c>
      <c r="D63" s="175" t="s">
        <v>381</v>
      </c>
      <c r="E63" s="174" t="s">
        <v>27</v>
      </c>
      <c r="F63" s="19" t="s">
        <v>382</v>
      </c>
      <c r="G63" s="18" t="s">
        <v>383</v>
      </c>
      <c r="H63" s="19" t="s">
        <v>384</v>
      </c>
      <c r="I63" s="77" t="s">
        <v>31</v>
      </c>
      <c r="J63" s="91" t="s">
        <v>132</v>
      </c>
      <c r="K63" s="19">
        <v>1</v>
      </c>
      <c r="L63" s="19">
        <f t="shared" si="6"/>
        <v>5</v>
      </c>
      <c r="M63" s="19">
        <f t="shared" si="7"/>
        <v>50</v>
      </c>
      <c r="N63" s="19">
        <f t="shared" si="8"/>
        <v>100</v>
      </c>
      <c r="O63" s="78">
        <v>10</v>
      </c>
      <c r="P63" s="78">
        <v>55</v>
      </c>
      <c r="Q63" s="78">
        <v>105</v>
      </c>
      <c r="R63" s="108" t="s">
        <v>33</v>
      </c>
      <c r="S63" s="109">
        <v>0.078</v>
      </c>
      <c r="T63" s="109">
        <f t="shared" si="9"/>
        <v>0.78</v>
      </c>
      <c r="U63" s="109">
        <v>0.0658</v>
      </c>
      <c r="V63" s="109">
        <f t="shared" si="10"/>
        <v>3.619</v>
      </c>
      <c r="W63" s="109">
        <v>0.0658</v>
      </c>
      <c r="X63" s="109">
        <f t="shared" si="11"/>
        <v>6.909</v>
      </c>
      <c r="Y63" s="141"/>
    </row>
    <row r="64" ht="15.75" spans="1:25">
      <c r="A64" s="9">
        <v>61</v>
      </c>
      <c r="B64" s="15"/>
      <c r="C64" s="217" t="s">
        <v>385</v>
      </c>
      <c r="D64" s="175" t="s">
        <v>386</v>
      </c>
      <c r="E64" s="174" t="s">
        <v>27</v>
      </c>
      <c r="F64" s="175" t="s">
        <v>387</v>
      </c>
      <c r="G64" s="19" t="s">
        <v>388</v>
      </c>
      <c r="H64" s="19" t="s">
        <v>389</v>
      </c>
      <c r="I64" s="77" t="s">
        <v>31</v>
      </c>
      <c r="J64" s="91" t="s">
        <v>132</v>
      </c>
      <c r="K64" s="19">
        <v>1</v>
      </c>
      <c r="L64" s="19">
        <f t="shared" si="6"/>
        <v>5</v>
      </c>
      <c r="M64" s="19">
        <f t="shared" si="7"/>
        <v>50</v>
      </c>
      <c r="N64" s="19">
        <f t="shared" si="8"/>
        <v>100</v>
      </c>
      <c r="O64" s="78">
        <v>7</v>
      </c>
      <c r="P64" s="78">
        <v>53</v>
      </c>
      <c r="Q64" s="78">
        <v>105</v>
      </c>
      <c r="R64" s="108" t="s">
        <v>33</v>
      </c>
      <c r="S64" s="111">
        <v>0.9053</v>
      </c>
      <c r="T64" s="109">
        <f t="shared" si="9"/>
        <v>6.3371</v>
      </c>
      <c r="U64" s="109">
        <v>0.6438</v>
      </c>
      <c r="V64" s="109">
        <f t="shared" si="10"/>
        <v>34.1214</v>
      </c>
      <c r="W64" s="109">
        <v>0.4319</v>
      </c>
      <c r="X64" s="109">
        <f t="shared" si="11"/>
        <v>45.3495</v>
      </c>
      <c r="Y64" s="141"/>
    </row>
    <row r="65" ht="15.75" spans="1:25">
      <c r="A65" s="9">
        <v>62</v>
      </c>
      <c r="B65" s="15"/>
      <c r="C65" s="217" t="s">
        <v>390</v>
      </c>
      <c r="D65" s="175" t="s">
        <v>391</v>
      </c>
      <c r="E65" s="174" t="s">
        <v>27</v>
      </c>
      <c r="F65" s="175" t="s">
        <v>392</v>
      </c>
      <c r="G65" s="19" t="s">
        <v>393</v>
      </c>
      <c r="H65" s="19" t="s">
        <v>394</v>
      </c>
      <c r="I65" s="77" t="s">
        <v>31</v>
      </c>
      <c r="J65" s="91" t="s">
        <v>132</v>
      </c>
      <c r="K65" s="19">
        <v>1</v>
      </c>
      <c r="L65" s="19">
        <f t="shared" ref="L65:L72" si="12">K65*5</f>
        <v>5</v>
      </c>
      <c r="M65" s="19">
        <f t="shared" ref="M65:M72" si="13">K65*50</f>
        <v>50</v>
      </c>
      <c r="N65" s="19">
        <f t="shared" ref="N65:N72" si="14">K65*100</f>
        <v>100</v>
      </c>
      <c r="O65" s="78">
        <v>7</v>
      </c>
      <c r="P65" s="78">
        <v>53</v>
      </c>
      <c r="Q65" s="78">
        <v>105</v>
      </c>
      <c r="R65" s="108" t="s">
        <v>33</v>
      </c>
      <c r="S65" s="111">
        <v>0.3562</v>
      </c>
      <c r="T65" s="109">
        <f t="shared" si="9"/>
        <v>2.4934</v>
      </c>
      <c r="U65" s="109">
        <v>0.2766</v>
      </c>
      <c r="V65" s="109">
        <f t="shared" si="10"/>
        <v>14.6598</v>
      </c>
      <c r="W65" s="109">
        <v>0.249</v>
      </c>
      <c r="X65" s="109">
        <f t="shared" si="11"/>
        <v>26.145</v>
      </c>
      <c r="Y65" s="141"/>
    </row>
    <row r="66" ht="15.75" spans="1:25">
      <c r="A66" s="9">
        <v>63</v>
      </c>
      <c r="B66" s="15"/>
      <c r="C66" s="217" t="s">
        <v>395</v>
      </c>
      <c r="D66" s="175" t="s">
        <v>396</v>
      </c>
      <c r="E66" s="174" t="s">
        <v>27</v>
      </c>
      <c r="F66" s="175" t="s">
        <v>397</v>
      </c>
      <c r="G66" s="19" t="s">
        <v>398</v>
      </c>
      <c r="H66" s="19" t="s">
        <v>399</v>
      </c>
      <c r="I66" s="77" t="s">
        <v>31</v>
      </c>
      <c r="J66" s="91" t="s">
        <v>132</v>
      </c>
      <c r="K66" s="19">
        <v>1</v>
      </c>
      <c r="L66" s="19">
        <f t="shared" si="12"/>
        <v>5</v>
      </c>
      <c r="M66" s="19">
        <f t="shared" si="13"/>
        <v>50</v>
      </c>
      <c r="N66" s="19">
        <f t="shared" si="14"/>
        <v>100</v>
      </c>
      <c r="O66" s="78">
        <v>10</v>
      </c>
      <c r="P66" s="78">
        <v>55</v>
      </c>
      <c r="Q66" s="78">
        <v>105</v>
      </c>
      <c r="R66" s="108" t="s">
        <v>33</v>
      </c>
      <c r="S66" s="109">
        <v>0.1358</v>
      </c>
      <c r="T66" s="109">
        <f t="shared" si="9"/>
        <v>1.358</v>
      </c>
      <c r="U66" s="109">
        <v>0.1106</v>
      </c>
      <c r="V66" s="109">
        <f t="shared" si="10"/>
        <v>6.083</v>
      </c>
      <c r="W66" s="109">
        <v>0.1106</v>
      </c>
      <c r="X66" s="109">
        <f t="shared" si="11"/>
        <v>11.613</v>
      </c>
      <c r="Y66" s="141"/>
    </row>
    <row r="67" ht="15.75" spans="1:25">
      <c r="A67" s="9">
        <v>64</v>
      </c>
      <c r="B67" s="15"/>
      <c r="C67" s="217" t="s">
        <v>395</v>
      </c>
      <c r="D67" s="175" t="s">
        <v>400</v>
      </c>
      <c r="E67" s="174" t="s">
        <v>27</v>
      </c>
      <c r="F67" s="175" t="s">
        <v>401</v>
      </c>
      <c r="G67" s="19" t="s">
        <v>398</v>
      </c>
      <c r="H67" s="19" t="s">
        <v>402</v>
      </c>
      <c r="I67" s="77" t="s">
        <v>31</v>
      </c>
      <c r="J67" s="91" t="s">
        <v>132</v>
      </c>
      <c r="K67" s="19">
        <v>2</v>
      </c>
      <c r="L67" s="19">
        <f t="shared" si="12"/>
        <v>10</v>
      </c>
      <c r="M67" s="19">
        <f t="shared" si="13"/>
        <v>100</v>
      </c>
      <c r="N67" s="19">
        <f t="shared" si="14"/>
        <v>200</v>
      </c>
      <c r="O67" s="78">
        <v>10</v>
      </c>
      <c r="P67" s="78">
        <v>105</v>
      </c>
      <c r="Q67" s="78">
        <v>205</v>
      </c>
      <c r="R67" s="108" t="s">
        <v>33</v>
      </c>
      <c r="S67" s="109">
        <v>0.0906</v>
      </c>
      <c r="T67" s="109">
        <f t="shared" si="9"/>
        <v>0.906</v>
      </c>
      <c r="U67" s="109">
        <v>0.0738</v>
      </c>
      <c r="V67" s="109">
        <f t="shared" si="10"/>
        <v>7.749</v>
      </c>
      <c r="W67" s="109">
        <v>0.0738</v>
      </c>
      <c r="X67" s="109">
        <f t="shared" si="11"/>
        <v>15.129</v>
      </c>
      <c r="Y67" s="141"/>
    </row>
    <row r="68" ht="15.75" spans="1:25">
      <c r="A68" s="9">
        <v>65</v>
      </c>
      <c r="B68" s="15"/>
      <c r="C68" s="217" t="s">
        <v>403</v>
      </c>
      <c r="D68" s="175" t="s">
        <v>404</v>
      </c>
      <c r="E68" s="174" t="s">
        <v>27</v>
      </c>
      <c r="F68" s="175" t="s">
        <v>405</v>
      </c>
      <c r="G68" s="18" t="s">
        <v>406</v>
      </c>
      <c r="H68" s="19" t="s">
        <v>407</v>
      </c>
      <c r="I68" s="101" t="s">
        <v>408</v>
      </c>
      <c r="J68" s="91" t="s">
        <v>132</v>
      </c>
      <c r="K68" s="19">
        <v>1</v>
      </c>
      <c r="L68" s="19">
        <f t="shared" si="12"/>
        <v>5</v>
      </c>
      <c r="M68" s="19">
        <f t="shared" si="13"/>
        <v>50</v>
      </c>
      <c r="N68" s="19">
        <f t="shared" si="14"/>
        <v>100</v>
      </c>
      <c r="O68" s="78">
        <v>50</v>
      </c>
      <c r="P68" s="78">
        <v>100</v>
      </c>
      <c r="Q68" s="78">
        <v>150</v>
      </c>
      <c r="R68" s="108" t="s">
        <v>33</v>
      </c>
      <c r="S68" s="109">
        <v>0.0111</v>
      </c>
      <c r="T68" s="109">
        <f t="shared" ref="T68:T99" si="15">S68*O68</f>
        <v>0.555</v>
      </c>
      <c r="U68" s="109">
        <v>0.0111</v>
      </c>
      <c r="V68" s="109">
        <f t="shared" ref="V68:V99" si="16">U68*P68</f>
        <v>1.11</v>
      </c>
      <c r="W68" s="109">
        <v>0.0111</v>
      </c>
      <c r="X68" s="109">
        <f t="shared" ref="X68:X99" si="17">W68*Q68</f>
        <v>1.665</v>
      </c>
      <c r="Y68" s="141"/>
    </row>
    <row r="69" ht="15.75" spans="1:25">
      <c r="A69" s="9">
        <v>66</v>
      </c>
      <c r="B69" s="15"/>
      <c r="C69" s="218" t="s">
        <v>409</v>
      </c>
      <c r="D69" s="219" t="s">
        <v>410</v>
      </c>
      <c r="E69" s="219" t="s">
        <v>27</v>
      </c>
      <c r="F69" s="219" t="s">
        <v>411</v>
      </c>
      <c r="G69" s="153" t="s">
        <v>412</v>
      </c>
      <c r="H69" s="154" t="s">
        <v>413</v>
      </c>
      <c r="I69" s="158" t="s">
        <v>413</v>
      </c>
      <c r="J69" s="154" t="s">
        <v>132</v>
      </c>
      <c r="K69" s="21">
        <v>1</v>
      </c>
      <c r="L69" s="21">
        <f t="shared" si="12"/>
        <v>5</v>
      </c>
      <c r="M69" s="21">
        <f t="shared" si="13"/>
        <v>50</v>
      </c>
      <c r="N69" s="21">
        <f t="shared" si="14"/>
        <v>100</v>
      </c>
      <c r="O69" s="159"/>
      <c r="P69" s="159"/>
      <c r="Q69" s="159"/>
      <c r="R69" s="158" t="s">
        <v>413</v>
      </c>
      <c r="S69" s="158"/>
      <c r="T69" s="158"/>
      <c r="U69" s="158"/>
      <c r="V69" s="158"/>
      <c r="W69" s="158"/>
      <c r="X69" s="158"/>
      <c r="Y69" s="166" t="s">
        <v>414</v>
      </c>
    </row>
    <row r="70" ht="15.75" spans="1:25">
      <c r="A70" s="9">
        <v>67</v>
      </c>
      <c r="B70" s="15"/>
      <c r="C70" s="218" t="s">
        <v>415</v>
      </c>
      <c r="D70" s="219" t="s">
        <v>416</v>
      </c>
      <c r="E70" s="219" t="s">
        <v>27</v>
      </c>
      <c r="F70" s="219" t="s">
        <v>417</v>
      </c>
      <c r="G70" s="154" t="s">
        <v>413</v>
      </c>
      <c r="H70" s="154" t="s">
        <v>413</v>
      </c>
      <c r="I70" s="158" t="s">
        <v>413</v>
      </c>
      <c r="J70" s="154" t="s">
        <v>132</v>
      </c>
      <c r="K70" s="21">
        <v>1</v>
      </c>
      <c r="L70" s="21">
        <f t="shared" si="12"/>
        <v>5</v>
      </c>
      <c r="M70" s="21">
        <f t="shared" si="13"/>
        <v>50</v>
      </c>
      <c r="N70" s="21">
        <f t="shared" si="14"/>
        <v>100</v>
      </c>
      <c r="O70" s="159"/>
      <c r="P70" s="159"/>
      <c r="Q70" s="159"/>
      <c r="R70" s="158" t="s">
        <v>413</v>
      </c>
      <c r="S70" s="158"/>
      <c r="T70" s="158"/>
      <c r="U70" s="158"/>
      <c r="V70" s="158"/>
      <c r="W70" s="158"/>
      <c r="X70" s="158"/>
      <c r="Y70" s="166" t="s">
        <v>414</v>
      </c>
    </row>
    <row r="71" ht="15.75" spans="1:25">
      <c r="A71" s="9">
        <v>68</v>
      </c>
      <c r="B71" s="15"/>
      <c r="C71" s="218" t="s">
        <v>418</v>
      </c>
      <c r="D71" s="219" t="s">
        <v>419</v>
      </c>
      <c r="E71" s="219" t="s">
        <v>27</v>
      </c>
      <c r="F71" s="219" t="s">
        <v>420</v>
      </c>
      <c r="G71" s="154" t="s">
        <v>413</v>
      </c>
      <c r="H71" s="154" t="s">
        <v>413</v>
      </c>
      <c r="I71" s="158" t="s">
        <v>413</v>
      </c>
      <c r="J71" s="154" t="s">
        <v>132</v>
      </c>
      <c r="K71" s="21">
        <v>10</v>
      </c>
      <c r="L71" s="21">
        <f t="shared" si="12"/>
        <v>50</v>
      </c>
      <c r="M71" s="21">
        <f t="shared" si="13"/>
        <v>500</v>
      </c>
      <c r="N71" s="21">
        <f t="shared" si="14"/>
        <v>1000</v>
      </c>
      <c r="O71" s="159"/>
      <c r="P71" s="159"/>
      <c r="Q71" s="159"/>
      <c r="R71" s="158" t="s">
        <v>413</v>
      </c>
      <c r="S71" s="158"/>
      <c r="T71" s="158"/>
      <c r="U71" s="158"/>
      <c r="V71" s="158"/>
      <c r="W71" s="158"/>
      <c r="X71" s="158"/>
      <c r="Y71" s="166" t="s">
        <v>414</v>
      </c>
    </row>
    <row r="72" ht="15.75" spans="1:25">
      <c r="A72" s="9">
        <v>69</v>
      </c>
      <c r="B72" s="56"/>
      <c r="C72" s="220" t="s">
        <v>421</v>
      </c>
      <c r="D72" s="221" t="s">
        <v>422</v>
      </c>
      <c r="E72" s="221" t="s">
        <v>27</v>
      </c>
      <c r="F72" s="221" t="s">
        <v>423</v>
      </c>
      <c r="G72" s="157" t="s">
        <v>413</v>
      </c>
      <c r="H72" s="157" t="s">
        <v>413</v>
      </c>
      <c r="I72" s="160" t="s">
        <v>413</v>
      </c>
      <c r="J72" s="157" t="s">
        <v>132</v>
      </c>
      <c r="K72" s="161">
        <v>6</v>
      </c>
      <c r="L72" s="161">
        <f t="shared" si="12"/>
        <v>30</v>
      </c>
      <c r="M72" s="161">
        <f t="shared" si="13"/>
        <v>300</v>
      </c>
      <c r="N72" s="161">
        <f t="shared" si="14"/>
        <v>600</v>
      </c>
      <c r="O72" s="162"/>
      <c r="P72" s="162"/>
      <c r="Q72" s="162"/>
      <c r="R72" s="160" t="s">
        <v>413</v>
      </c>
      <c r="S72" s="160"/>
      <c r="T72" s="160"/>
      <c r="U72" s="160"/>
      <c r="V72" s="160"/>
      <c r="W72" s="160"/>
      <c r="X72" s="160"/>
      <c r="Y72" s="167" t="s">
        <v>414</v>
      </c>
    </row>
    <row r="73" ht="19.5" spans="11:24">
      <c r="K73" s="163" t="s">
        <v>424</v>
      </c>
      <c r="L73" s="163"/>
      <c r="M73" s="163"/>
      <c r="N73" s="163"/>
      <c r="T73" s="165">
        <f>SUM(T3:T72)</f>
        <v>306.27534</v>
      </c>
      <c r="V73" s="165">
        <f>SUM(V3:V72)</f>
        <v>1373.4159</v>
      </c>
      <c r="X73" s="165">
        <f>SUM(X3:X72)</f>
        <v>2464.8466</v>
      </c>
    </row>
    <row r="74" ht="18.75" spans="11:24">
      <c r="K74" s="164" t="s">
        <v>425</v>
      </c>
      <c r="L74" s="164"/>
      <c r="M74" s="164"/>
      <c r="N74" s="164"/>
      <c r="T74" s="165">
        <f>T73/5</f>
        <v>61.255068</v>
      </c>
      <c r="V74" s="165">
        <f>V73/50</f>
        <v>27.468318</v>
      </c>
      <c r="X74" s="165">
        <f>X73/100</f>
        <v>24.648466</v>
      </c>
    </row>
  </sheetData>
  <mergeCells count="10">
    <mergeCell ref="A1:Y1"/>
    <mergeCell ref="K73:N73"/>
    <mergeCell ref="K74:N74"/>
    <mergeCell ref="B3:B17"/>
    <mergeCell ref="B18:B19"/>
    <mergeCell ref="B21:B25"/>
    <mergeCell ref="B26:B27"/>
    <mergeCell ref="B30:B50"/>
    <mergeCell ref="B51:B60"/>
    <mergeCell ref="B61:B72"/>
  </mergeCells>
  <conditionalFormatting sqref="S74:X74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{3638945b-0530-4b43-a76e-0f52ad95a8af}</x14:id>
        </ext>
      </extLst>
    </cfRule>
  </conditionalFormatting>
  <conditionalFormatting sqref="T3:T6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{626abd68-ec28-461e-98a3-35b08c3f642b}</x14:id>
        </ext>
      </extLst>
    </cfRule>
  </conditionalFormatting>
  <conditionalFormatting sqref="V3:V6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{422068a3-29f5-415b-9af1-8c977119a00e}</x14:id>
        </ext>
      </extLst>
    </cfRule>
  </conditionalFormatting>
  <conditionalFormatting sqref="X3:X68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{cfa0fa56-1c3f-4620-9459-890dee4e6a98}</x14:id>
        </ext>
      </extLst>
    </cfRule>
  </conditionalFormatting>
  <conditionalFormatting sqref="K3:N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R3" r:id="rId1" display="LCSC"/>
    <hyperlink ref="R4" r:id="rId2" display="LCSC"/>
    <hyperlink ref="R6" r:id="rId3" display="LCSC"/>
    <hyperlink ref="R7" r:id="rId4" display="LCSC"/>
    <hyperlink ref="R8" r:id="rId5" display="LCSC"/>
    <hyperlink ref="R11" r:id="rId6" display="LCSC"/>
    <hyperlink ref="R13" r:id="rId7" display="LCSC"/>
    <hyperlink ref="R14" r:id="rId8" display="LCSC"/>
    <hyperlink ref="R15" r:id="rId9" display="LCSC"/>
    <hyperlink ref="R16" r:id="rId10" display="LCSC"/>
    <hyperlink ref="R17" r:id="rId11" display="LCSC"/>
    <hyperlink ref="R20" r:id="rId12" display="LCSC"/>
    <hyperlink ref="R22" r:id="rId13" display="LCSC"/>
    <hyperlink ref="R23" r:id="rId14" display="LCSC"/>
    <hyperlink ref="R24" r:id="rId15" display="LCSC"/>
    <hyperlink ref="R26" r:id="rId16" display="LCSC"/>
    <hyperlink ref="R27" r:id="rId17" display="LCSC"/>
    <hyperlink ref="R28" r:id="rId18" display="LCSC"/>
    <hyperlink ref="R30" r:id="rId19" display="LCSC"/>
    <hyperlink ref="R32" r:id="rId20" display="LCSC"/>
    <hyperlink ref="R33" r:id="rId21" display="LCSC"/>
    <hyperlink ref="R34" r:id="rId22" display="LCSC"/>
    <hyperlink ref="R35" r:id="rId23" display="LCSC"/>
    <hyperlink ref="R37" r:id="rId24" display="LCSC"/>
    <hyperlink ref="R39" r:id="rId25" display="LCSC"/>
    <hyperlink ref="R40" r:id="rId26" display="LCSC"/>
    <hyperlink ref="R41" r:id="rId27" display="LCSC"/>
    <hyperlink ref="R42" r:id="rId28" display="LCSC"/>
    <hyperlink ref="R45" r:id="rId29" display="LCSC"/>
    <hyperlink ref="R46" r:id="rId30" display="LCSC"/>
    <hyperlink ref="R47" r:id="rId31" display="LCSC"/>
    <hyperlink ref="R48" r:id="rId32" display="LCSC"/>
    <hyperlink ref="R49" r:id="rId33" display="LCSC"/>
    <hyperlink ref="R50" r:id="rId34" display="LCSC"/>
    <hyperlink ref="R51" r:id="rId35" display="LCSC"/>
    <hyperlink ref="R54" r:id="rId36" display="LCSC"/>
    <hyperlink ref="R56" r:id="rId37" display="LCSC"/>
    <hyperlink ref="R58" r:id="rId38" display="LCSC"/>
    <hyperlink ref="R59" r:id="rId39" display="LCSC"/>
    <hyperlink ref="R60" r:id="rId40" display="LCSC"/>
    <hyperlink ref="R62" r:id="rId41" display="LCSC"/>
    <hyperlink ref="R63" r:id="rId42" display="LCSC"/>
    <hyperlink ref="R64" r:id="rId43" display="LCSC"/>
    <hyperlink ref="R65" r:id="rId44" display="LCSC"/>
    <hyperlink ref="R66" r:id="rId45" display="LCSC"/>
    <hyperlink ref="R67" r:id="rId46" display="LCSC"/>
    <hyperlink ref="R9" r:id="rId47" display="LCSC"/>
    <hyperlink ref="R21" r:id="rId48" display="LCSC"/>
    <hyperlink ref="R25" r:id="rId49" display="Utsource"/>
    <hyperlink ref="R12" r:id="rId50" display="LCSC"/>
    <hyperlink ref="R31" r:id="rId51" display="LCSC"/>
    <hyperlink ref="R36" r:id="rId52" display="LCSC"/>
    <hyperlink ref="R38" r:id="rId53" display="LCSC"/>
    <hyperlink ref="R43" r:id="rId54" display="LCSC"/>
    <hyperlink ref="R44" r:id="rId55" display="LCSC"/>
    <hyperlink ref="R52" r:id="rId56" display="winsource"/>
    <hyperlink ref="R53" r:id="rId57" display="Aliexpress"/>
    <hyperlink ref="R57" r:id="rId58" display="Aliexpress"/>
    <hyperlink ref="R61" r:id="rId59" display="Alibaba"/>
    <hyperlink ref="R68" r:id="rId60" display="LCSC"/>
    <hyperlink ref="R19" r:id="rId61" display="LCSC"/>
    <hyperlink ref="R29" r:id="rId62" display="winsource"/>
    <hyperlink ref="R10" r:id="rId63" display="LCSC"/>
    <hyperlink ref="R5" r:id="rId64" display="LCSC"/>
    <hyperlink ref="R18" r:id="rId65" display="LCSC"/>
  </hyperlinks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38945b-0530-4b43-a76e-0f52ad95a8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S74:X74</xm:sqref>
        </x14:conditionalFormatting>
        <x14:conditionalFormatting xmlns:xm="http://schemas.microsoft.com/office/excel/2006/main">
          <x14:cfRule type="dataBar" id="{626abd68-ec28-461e-98a3-35b08c3f6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T3:T68</xm:sqref>
        </x14:conditionalFormatting>
        <x14:conditionalFormatting xmlns:xm="http://schemas.microsoft.com/office/excel/2006/main">
          <x14:cfRule type="dataBar" id="{422068a3-29f5-415b-9af1-8c977119a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V3:V68</xm:sqref>
        </x14:conditionalFormatting>
        <x14:conditionalFormatting xmlns:xm="http://schemas.microsoft.com/office/excel/2006/main">
          <x14:cfRule type="dataBar" id="{cfa0fa56-1c3f-4620-9459-890dee4e6a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X3:X68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LCSC_BOM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2022-03-03T11:26:00Z</dcterms:created>
  <dcterms:modified xsi:type="dcterms:W3CDTF">2022-03-08T12:37:44Z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BB334BAE93B649F58C7B32949FC6DC5A</vt:lpwstr>
  </property>
  <property fmtid="{D5CDD505-2E9C-101B-9397-08002B2CF9AE}" pid="3" name="KSOProductBuildVer">
    <vt:lpwstr>1033-11.2.0.11029</vt:lpwstr>
  </property>
</Properties>
</file>