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325" windowHeight="9795"/>
  </bookViews>
  <sheets>
    <sheet name="LCSC_BOM" sheetId="1" r:id="rId1"/>
  </sheets>
  <definedNames>
    <definedName name="_xlnm.Print_Titles" localSheetId="0">LCSC_BOM!#REF!</definedName>
  </definedNames>
  <calcPr calcId="144525"/>
</workbook>
</file>

<file path=xl/sharedStrings.xml><?xml version="1.0" encoding="utf-8"?>
<sst xmlns="http://schemas.openxmlformats.org/spreadsheetml/2006/main" count="513" uniqueCount="363">
  <si>
    <t>Bill of Material (BOM) for Grant</t>
  </si>
  <si>
    <t>S. No.</t>
  </si>
  <si>
    <t>Comment Type</t>
  </si>
  <si>
    <t>Description</t>
  </si>
  <si>
    <t>Designator</t>
  </si>
  <si>
    <t>Footprint (Package)</t>
  </si>
  <si>
    <t>Manufacturer Part Number</t>
  </si>
  <si>
    <t>LCSC Part Number</t>
  </si>
  <si>
    <t>Manufacturer</t>
  </si>
  <si>
    <t>Value</t>
  </si>
  <si>
    <t>Unit Quantity</t>
  </si>
  <si>
    <t>Quantity(5)</t>
  </si>
  <si>
    <t>Quantity(50)</t>
  </si>
  <si>
    <t>Quantity(100)</t>
  </si>
  <si>
    <t>LCSC /MOQ</t>
  </si>
  <si>
    <t>Link</t>
  </si>
  <si>
    <t xml:space="preserve">Unit Price </t>
  </si>
  <si>
    <t xml:space="preserve">Total Price </t>
  </si>
  <si>
    <t>Unit Price(5)</t>
  </si>
  <si>
    <t>Unit Price(50)</t>
  </si>
  <si>
    <t>Unit Price(100)</t>
  </si>
  <si>
    <t>Remarks</t>
  </si>
  <si>
    <t>Capacitor</t>
  </si>
  <si>
    <t>CAP ALUM 6.8UF 20% 25V SMD</t>
  </si>
  <si>
    <t>C1</t>
  </si>
  <si>
    <t>EEEHB1E6R8R</t>
  </si>
  <si>
    <t>Panasonic</t>
  </si>
  <si>
    <t>6.8uF</t>
  </si>
  <si>
    <t>LCSC</t>
  </si>
  <si>
    <r>
      <rPr>
        <sz val="9.75"/>
        <color rgb="FFE11C25"/>
        <rFont val="Arial"/>
        <charset val="134"/>
      </rPr>
      <t>0.0509</t>
    </r>
    <r>
      <rPr>
        <sz val="9.75"/>
        <color rgb="FFE11C25"/>
        <rFont val="Arial"/>
        <charset val="134"/>
      </rPr>
      <t> </t>
    </r>
  </si>
  <si>
    <t>CAP ALUM 10uF 25V SMD</t>
  </si>
  <si>
    <t>C2</t>
  </si>
  <si>
    <t>RVT1E100M0405</t>
  </si>
  <si>
    <t>C72484</t>
  </si>
  <si>
    <t>ROQANG</t>
  </si>
  <si>
    <t>10uF</t>
  </si>
  <si>
    <t>CAP CER 0.1UF 16V X7R 0402</t>
  </si>
  <si>
    <t>C6, C10, C11, C12, C13, C14, C15, C18, C21, C24, C29, C30, CF2</t>
  </si>
  <si>
    <t>Cap 0402</t>
  </si>
  <si>
    <t>CC0402KRX7R7BB104</t>
  </si>
  <si>
    <t>C60474</t>
  </si>
  <si>
    <t>Yageo</t>
  </si>
  <si>
    <t>0.1uF</t>
  </si>
  <si>
    <t>CAP CER 22UF 25V X5R 0805</t>
  </si>
  <si>
    <t>C7, CE1</t>
  </si>
  <si>
    <t>Cap0805</t>
  </si>
  <si>
    <t>GRM21BR61E226ME44L</t>
  </si>
  <si>
    <t>C86816</t>
  </si>
  <si>
    <t>Murata</t>
  </si>
  <si>
    <t>22uF</t>
  </si>
  <si>
    <t>1uF 10V ±20% 0805 Tantalum Capacitors ROHS</t>
  </si>
  <si>
    <t>C8, C19</t>
  </si>
  <si>
    <t>TCP1A105M8R</t>
  </si>
  <si>
    <t>C1952948</t>
  </si>
  <si>
    <t>ROHM</t>
  </si>
  <si>
    <t>1UF</t>
  </si>
  <si>
    <t>CAP CER 25PF 50V C0G/NPO 0603</t>
  </si>
  <si>
    <t>C9</t>
  </si>
  <si>
    <t>Cap 0603</t>
  </si>
  <si>
    <t>CC0603JRNPO9BN250</t>
  </si>
  <si>
    <t>C282067</t>
  </si>
  <si>
    <t>YAGEO</t>
  </si>
  <si>
    <t>25pF</t>
  </si>
  <si>
    <t>CAP CER 20PF 25V C0H 0201</t>
  </si>
  <si>
    <t>C16, C17, CX1, CX2</t>
  </si>
  <si>
    <t>Cap 0201</t>
  </si>
  <si>
    <t>GJM0336C1E200JB01D</t>
  </si>
  <si>
    <t>20pF</t>
  </si>
  <si>
    <t>CAP CER 0.022UF 100V X7R 0603</t>
  </si>
  <si>
    <t>C20</t>
  </si>
  <si>
    <t>CGA3E2X7R2A223K080AA</t>
  </si>
  <si>
    <t>TDK</t>
  </si>
  <si>
    <t>22nF</t>
  </si>
  <si>
    <t>Cap Ceramic 0.1uF 50VDC X7R 10% SMD 0603 Paper T/R</t>
  </si>
  <si>
    <t>C22, C25, C27, C35</t>
  </si>
  <si>
    <t>CL10B104KB8NNNC</t>
  </si>
  <si>
    <t>C1591</t>
  </si>
  <si>
    <t>Samsung</t>
  </si>
  <si>
    <t>CAP TANT 4.7UF 10% 35V 1411</t>
  </si>
  <si>
    <t>C23</t>
  </si>
  <si>
    <t>TAJB475K035RNJ</t>
  </si>
  <si>
    <t>C7206</t>
  </si>
  <si>
    <t>Kyocera AVX</t>
  </si>
  <si>
    <t>4.7UF</t>
  </si>
  <si>
    <t>CAP ALUM 100UF 20% 25V SMD</t>
  </si>
  <si>
    <t>C26</t>
  </si>
  <si>
    <t>UWX1E101MCL1GB</t>
  </si>
  <si>
    <t>Nichicon</t>
  </si>
  <si>
    <t>100uF</t>
  </si>
  <si>
    <t>CAP CER 1UF 25V X5R 0402</t>
  </si>
  <si>
    <t>C28, C32</t>
  </si>
  <si>
    <t>GRM155R61E105KA12D</t>
  </si>
  <si>
    <t>C77009</t>
  </si>
  <si>
    <t>1uF</t>
  </si>
  <si>
    <t>CAP CER 4.7UF 25V X5R 0603</t>
  </si>
  <si>
    <t>C31, C34</t>
  </si>
  <si>
    <t>CL10A475KA8NQNC</t>
  </si>
  <si>
    <t>C69335</t>
  </si>
  <si>
    <t>4.7uF</t>
  </si>
  <si>
    <t>CAP CER 2.2UF 16V X5R 0402</t>
  </si>
  <si>
    <t>C33, CR1</t>
  </si>
  <si>
    <t>EMK105ABJ225KV-F</t>
  </si>
  <si>
    <t>C385887</t>
  </si>
  <si>
    <t>Taiyo Yuden</t>
  </si>
  <si>
    <t>2.2uF</t>
  </si>
  <si>
    <t>CAP TANT 0.33 uF 20 V ±20% 0402</t>
  </si>
  <si>
    <t>C50</t>
  </si>
  <si>
    <t>TCTU1D334M8R</t>
  </si>
  <si>
    <t>C209647</t>
  </si>
  <si>
    <t>Rohm</t>
  </si>
  <si>
    <t>330nF</t>
  </si>
  <si>
    <t>CAP CER 220PF 50V C0G/NPO 0402</t>
  </si>
  <si>
    <t>CF1</t>
  </si>
  <si>
    <t>CC0402JRNPO9BN221</t>
  </si>
  <si>
    <t>C107001</t>
  </si>
  <si>
    <t>220pF</t>
  </si>
  <si>
    <t>Diode</t>
  </si>
  <si>
    <t>DIODE SCHOTTKY 30V 1A SOD123W</t>
  </si>
  <si>
    <t>D1, D2, D3</t>
  </si>
  <si>
    <t>SOD123W</t>
  </si>
  <si>
    <t>PMEG3010ER,115</t>
  </si>
  <si>
    <t>Nexperia</t>
  </si>
  <si>
    <t xml:space="preserve">LED
</t>
  </si>
  <si>
    <t>Red 625nm 0402 Light Emitting Diodes (LED) RoHS</t>
  </si>
  <si>
    <t>LED1, LED2</t>
  </si>
  <si>
    <t>LED 0402</t>
  </si>
  <si>
    <t>TJ-S1005SW4TGLC2R-A5</t>
  </si>
  <si>
    <t>C273598</t>
  </si>
  <si>
    <t>TOGIALED</t>
  </si>
  <si>
    <t>Mosfet</t>
  </si>
  <si>
    <t>20V 1.6A 500mW 115mΩ@4.5V,1.6A 1.5V@250μA P Channel SOT-23 MOSFETs ROHS</t>
  </si>
  <si>
    <t>Q1</t>
  </si>
  <si>
    <t>SOT23-3</t>
  </si>
  <si>
    <t>FDN338P</t>
  </si>
  <si>
    <t>UMW</t>
  </si>
  <si>
    <t>MOSFET P-CH 20V 2.8A SOT-23</t>
  </si>
  <si>
    <t>Q2</t>
  </si>
  <si>
    <t>PMV65XP,215</t>
  </si>
  <si>
    <t>C75561</t>
  </si>
  <si>
    <t>MOSFET N-CH 100V .1A SOT23-3</t>
  </si>
  <si>
    <t>Q3</t>
  </si>
  <si>
    <t>ZVN3310FTA</t>
  </si>
  <si>
    <t>C110533</t>
  </si>
  <si>
    <t>Diodes Zetex</t>
  </si>
  <si>
    <t>SOT-23 MOSFETs ROHS</t>
  </si>
  <si>
    <t>Q4</t>
  </si>
  <si>
    <t>FDN335N</t>
  </si>
  <si>
    <t>C347512</t>
  </si>
  <si>
    <t>TRANS PNP 60V 3A SOT223</t>
  </si>
  <si>
    <t>QF1</t>
  </si>
  <si>
    <t>NZT660A</t>
  </si>
  <si>
    <t>ON Semiconductor / Fairchild</t>
  </si>
  <si>
    <t>Switch</t>
  </si>
  <si>
    <t>SPDT 5A 120V On-On DIP Toggle Switches RoHS</t>
  </si>
  <si>
    <t>S1</t>
  </si>
  <si>
    <t>SS-12D11L5</t>
  </si>
  <si>
    <t>C319010</t>
  </si>
  <si>
    <t>XKB Enterprise</t>
  </si>
  <si>
    <r>
      <t>0.2093</t>
    </r>
    <r>
      <rPr>
        <sz val="9.75"/>
        <color rgb="FFE11C25"/>
        <rFont val="Arial"/>
        <charset val="134"/>
      </rPr>
      <t> </t>
    </r>
  </si>
  <si>
    <t>SWITCH TACTILE SPST-NO 0.05A 12V</t>
  </si>
  <si>
    <t>SW1</t>
  </si>
  <si>
    <t>B3U-1000P</t>
  </si>
  <si>
    <t>C231329</t>
  </si>
  <si>
    <t>Omron</t>
  </si>
  <si>
    <t>Inductor</t>
  </si>
  <si>
    <t>10uH ±20% 1.6A 230mΩ SMD,4.75x4.2x2mm Inductors (SMD) RoHS</t>
  </si>
  <si>
    <t>LZ1</t>
  </si>
  <si>
    <t>MS0420-100M</t>
  </si>
  <si>
    <t>C380158</t>
  </si>
  <si>
    <t>COILMX</t>
  </si>
  <si>
    <t>Crystal</t>
  </si>
  <si>
    <t>CRYSTAL 32.7680KHZ 12.5PF SMD</t>
  </si>
  <si>
    <t>X1, X2</t>
  </si>
  <si>
    <t>NX3215SA-32.768K-STD-MUA-8</t>
  </si>
  <si>
    <t>NDK</t>
  </si>
  <si>
    <t>Resistor</t>
  </si>
  <si>
    <t>470 ±5% 1/16W ±100ppm/°C 0402 Chip Resistor - Surface Mount RoHS</t>
  </si>
  <si>
    <t>R1</t>
  </si>
  <si>
    <t>Res0402</t>
  </si>
  <si>
    <t>RTT02471JTH</t>
  </si>
  <si>
    <t>C103058</t>
  </si>
  <si>
    <t>RALEC</t>
  </si>
  <si>
    <t>470R</t>
  </si>
  <si>
    <t>RES SMD 1.5K OHM 1% 1/20W 0201</t>
  </si>
  <si>
    <t>R2</t>
  </si>
  <si>
    <t>Res-0201</t>
  </si>
  <si>
    <t>RMCF0201FT1K50</t>
  </si>
  <si>
    <t>Stackpole Electronics</t>
  </si>
  <si>
    <t>1.5K</t>
  </si>
  <si>
    <t>RES SMD 20K OHM 5% 1/16W 0402</t>
  </si>
  <si>
    <t>R3, R4, R8, R9, R10, R20, RP2</t>
  </si>
  <si>
    <t>RC0402JR-0720KL</t>
  </si>
  <si>
    <t>C137902</t>
  </si>
  <si>
    <t>20K</t>
  </si>
  <si>
    <t>RES SMD 2K OHM 1% 1/16W 0402</t>
  </si>
  <si>
    <t>R5</t>
  </si>
  <si>
    <t>RC0402FR-072KL</t>
  </si>
  <si>
    <t>C60488</t>
  </si>
  <si>
    <t>2K</t>
  </si>
  <si>
    <t>RES SMD 80.6K OHM 1% 1/16W 0402</t>
  </si>
  <si>
    <t>R6</t>
  </si>
  <si>
    <t>AC0402FR-0780K6L</t>
  </si>
  <si>
    <t>C227238</t>
  </si>
  <si>
    <t>80.6K</t>
  </si>
  <si>
    <t>RES SMD 30.9K OHM 1% 1/16W 0402</t>
  </si>
  <si>
    <t>R7</t>
  </si>
  <si>
    <t>AC0402FR-0730K9L</t>
  </si>
  <si>
    <t>C226983</t>
  </si>
  <si>
    <t>30.9K</t>
  </si>
  <si>
    <t>RES 10K OHM 5% 1/10W 0402</t>
  </si>
  <si>
    <t>R11, R12, R15, R16, R17</t>
  </si>
  <si>
    <t>RK73B1ETTP103J</t>
  </si>
  <si>
    <t>KOA Speer</t>
  </si>
  <si>
    <t>10K</t>
  </si>
  <si>
    <t>RES SMD 133K OHM 1% 1/16W 0402</t>
  </si>
  <si>
    <t>R13</t>
  </si>
  <si>
    <t>RC0402FR-07133KL</t>
  </si>
  <si>
    <t>C327374</t>
  </si>
  <si>
    <t>133K</t>
  </si>
  <si>
    <t>RES 49.9K OHM 1% 1/10W 0402</t>
  </si>
  <si>
    <t>R14</t>
  </si>
  <si>
    <t>RK73H1ETTP4992F</t>
  </si>
  <si>
    <t>49.9K</t>
  </si>
  <si>
    <t>RES SMD 0 OHM JUMPER 1/16W 0402</t>
  </si>
  <si>
    <t>R18, R19, RF22, RF23</t>
  </si>
  <si>
    <t>RC0402JR-070RL</t>
  </si>
  <si>
    <t>C60485</t>
  </si>
  <si>
    <t>0R</t>
  </si>
  <si>
    <t>4.7K ±5% 1/16W ±200ppm/°C 0402 Chip Resistor - Surface Mount RoHS</t>
  </si>
  <si>
    <t>R21, R22, R27</t>
  </si>
  <si>
    <t>CR0402JF0472G</t>
  </si>
  <si>
    <t>C100658</t>
  </si>
  <si>
    <t>LIZ Elec</t>
  </si>
  <si>
    <t>4.7K</t>
  </si>
  <si>
    <t>±1% 1/10W Thick Film Resistors 75V ±100ppm/℃ -55℃~+155℃ 910kΩ 0603 Chip Resistor - Surface Mount ROHS</t>
  </si>
  <si>
    <t>R23</t>
  </si>
  <si>
    <t>Res0603</t>
  </si>
  <si>
    <t>0603WAF9103T5E</t>
  </si>
  <si>
    <t>C23263</t>
  </si>
  <si>
    <t>UNI-ROYAL</t>
  </si>
  <si>
    <t>910K</t>
  </si>
  <si>
    <t>RES SMD 47K OHM 1% 1/16W 0402</t>
  </si>
  <si>
    <t>R24, R25, RZ1</t>
  </si>
  <si>
    <t>RC0402FR-0747KL</t>
  </si>
  <si>
    <t>C93943</t>
  </si>
  <si>
    <t>47K</t>
  </si>
  <si>
    <t>RES SMD 1K OHM 5% 1/10W 0402</t>
  </si>
  <si>
    <t>R26, RF2</t>
  </si>
  <si>
    <t>ERJ-2GEJ102X</t>
  </si>
  <si>
    <t>1K</t>
  </si>
  <si>
    <t>0.068 ±1% 1/4W ±800ppm/°C 0805 Chip Resistor - Surface Mount RoHS</t>
  </si>
  <si>
    <t>RF1</t>
  </si>
  <si>
    <t>RES 0805</t>
  </si>
  <si>
    <t>0805W4F680MT5E</t>
  </si>
  <si>
    <t>UNI-ROYAL(Uniroyal Elec)</t>
  </si>
  <si>
    <t>0.068R</t>
  </si>
  <si>
    <t>RES SMD 1M OHM 1% 1/16W 0402</t>
  </si>
  <si>
    <t>RF3, RF4</t>
  </si>
  <si>
    <t>RC0402FR-071ML</t>
  </si>
  <si>
    <t>C138033</t>
  </si>
  <si>
    <t>1M</t>
  </si>
  <si>
    <t>RES SMD 118K OHM 1% 1/16W 0402</t>
  </si>
  <si>
    <t>RF5</t>
  </si>
  <si>
    <t>AC0402FR-07118KL</t>
  </si>
  <si>
    <t>118K</t>
  </si>
  <si>
    <t>RES SMD 13.3K OHM 1% 1/16W 0402</t>
  </si>
  <si>
    <t>RF6</t>
  </si>
  <si>
    <t>RC0402FR-0713K3L</t>
  </si>
  <si>
    <t>13.3K</t>
  </si>
  <si>
    <t>RES SMD 60.4K OHM 1% 1/16W 0402</t>
  </si>
  <si>
    <t>RP1</t>
  </si>
  <si>
    <t>RC0402FR-0760K4L</t>
  </si>
  <si>
    <t>60.4K</t>
  </si>
  <si>
    <t>RES SMD 62K OHM 1% 1/16W 0402</t>
  </si>
  <si>
    <t>RP3</t>
  </si>
  <si>
    <t>AC0402FR-0762KL</t>
  </si>
  <si>
    <t>62K</t>
  </si>
  <si>
    <t>40.2K ±1% 1/16W ±100ppm/°C 0402 Chip Resistor - Surface Mount RoHS</t>
  </si>
  <si>
    <t>RP4</t>
  </si>
  <si>
    <t>RTT024022FTH</t>
  </si>
  <si>
    <t>40.2K</t>
  </si>
  <si>
    <t>ICs</t>
  </si>
  <si>
    <t>IC REG LDO 3.3V 1A SOT223</t>
  </si>
  <si>
    <t>U1</t>
  </si>
  <si>
    <t>SPX3940AM3-L-3-3/TR</t>
  </si>
  <si>
    <t>Exar</t>
  </si>
  <si>
    <t>TVS DIODE 5V 6.8V 6UDFN</t>
  </si>
  <si>
    <t>U2</t>
  </si>
  <si>
    <t>SP3014-02UTG</t>
  </si>
  <si>
    <t>Littelfuse</t>
  </si>
  <si>
    <t>IC VREF SHUNT 18V 0.5% SOT23</t>
  </si>
  <si>
    <t>U3</t>
  </si>
  <si>
    <t>TLV431BFTA</t>
  </si>
  <si>
    <t>IC COMPARATOR LP DUAL 8-SOIC</t>
  </si>
  <si>
    <t>U4</t>
  </si>
  <si>
    <t>LM393DT</t>
  </si>
  <si>
    <t>STMicroelectronics</t>
  </si>
  <si>
    <t>IC MCU 32BIT 256KB FLASH 48TQFP</t>
  </si>
  <si>
    <t>U5</t>
  </si>
  <si>
    <t>SAMD21G18A-AUT</t>
  </si>
  <si>
    <t>Microchip</t>
  </si>
  <si>
    <t>IC AMP CLASS AB MONO 1W 8SOIC</t>
  </si>
  <si>
    <t>U6</t>
  </si>
  <si>
    <t>SOIC-8</t>
  </si>
  <si>
    <t>LM4890MX/NOPB</t>
  </si>
  <si>
    <t>Texas Instruments</t>
  </si>
  <si>
    <t>IC MOTOR DRIVER DC 5.5V 16HTSSOP</t>
  </si>
  <si>
    <t>U7</t>
  </si>
  <si>
    <t>16HTSSOP</t>
  </si>
  <si>
    <t>DRV8876PWPR</t>
  </si>
  <si>
    <t>IC RTC CLK/CALENDAR I2C 8-SOIC</t>
  </si>
  <si>
    <t>U8</t>
  </si>
  <si>
    <t>MCP7940N-I/SN</t>
  </si>
  <si>
    <t>IC LI-ION LDO CHARGE MGMT 8SOIC</t>
  </si>
  <si>
    <t>UF1</t>
  </si>
  <si>
    <t>BQ2057WSNTR</t>
  </si>
  <si>
    <t>IC REG BOOST ADJ 2A SOT23-5</t>
  </si>
  <si>
    <t>UF2</t>
  </si>
  <si>
    <t>SOT23-5</t>
  </si>
  <si>
    <t>LMR62014XMF/NOPB</t>
  </si>
  <si>
    <t>TI National Semiconductor</t>
  </si>
  <si>
    <t>Connector</t>
  </si>
  <si>
    <t>FPC Connector 0.5mm pitch 24pin 30pin TOP&amp;bottom conduction Zif Smt Lcd/epaper Fpc Ffc Connector</t>
  </si>
  <si>
    <t>J1</t>
  </si>
  <si>
    <t>8.02A0.024200</t>
  </si>
  <si>
    <t>DC Power Receptacle Jack 2.5A 2.5mm 6.5mm SMD Power Connectors RoHS</t>
  </si>
  <si>
    <t>J2</t>
  </si>
  <si>
    <t>DC-005-5A-2.5-SMT</t>
  </si>
  <si>
    <t>USB - Micro B Female USB 2 5 SMD USB Connectors RoHS</t>
  </si>
  <si>
    <t>J3</t>
  </si>
  <si>
    <t>C10418</t>
  </si>
  <si>
    <t>Jing Extension of the Electronic Co.</t>
  </si>
  <si>
    <t>CONN HEADER SMD 10POS 1.27MM</t>
  </si>
  <si>
    <t>J4</t>
  </si>
  <si>
    <t>20021121-00010C4LF</t>
  </si>
  <si>
    <t>Amphenol FCI</t>
  </si>
  <si>
    <t>CBL PLUG-OF-NAILS 10-PIN W/LEGS</t>
  </si>
  <si>
    <t>J5</t>
  </si>
  <si>
    <t>TC2050-IDC</t>
  </si>
  <si>
    <t>Tag-Connect</t>
  </si>
  <si>
    <t>SMD Battery Holders, Clips &amp; Contacts RoHS</t>
  </si>
  <si>
    <t>J6</t>
  </si>
  <si>
    <t>CR1220-2</t>
  </si>
  <si>
    <t>Q&amp;J</t>
  </si>
  <si>
    <t>P=5.0mm Screw terminal RoHS</t>
  </si>
  <si>
    <t>J7</t>
  </si>
  <si>
    <t>WJ301V-5.0-3P</t>
  </si>
  <si>
    <t>Ningbo Kangnex Elec</t>
  </si>
  <si>
    <t>J8, J#1</t>
  </si>
  <si>
    <t>WJ301V-5.0-2P</t>
  </si>
  <si>
    <t>Wire Connecting Pad</t>
  </si>
  <si>
    <t>P1</t>
  </si>
  <si>
    <t>SMD PAD</t>
  </si>
  <si>
    <t>Test Point ON</t>
  </si>
  <si>
    <t>P2, P12, P13, P14, P15, P16</t>
  </si>
  <si>
    <t>TEST POINT</t>
  </si>
  <si>
    <t>2 PIN JST Connector</t>
  </si>
  <si>
    <t>P17</t>
  </si>
  <si>
    <t>JST Connector</t>
  </si>
  <si>
    <t>2 Pin JST Connector</t>
  </si>
  <si>
    <t>Solder Bridge ON</t>
  </si>
  <si>
    <t>SB2, SB3, SB14, SB15, SB16, SB17, SB18, SB19, SB20, SB_ZD1</t>
  </si>
  <si>
    <t>Solder Bridge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</si>
</sst>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24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sz val="12"/>
      <color rgb="FF333333"/>
      <name val="Arial"/>
      <charset val="134"/>
    </font>
    <font>
      <u/>
      <sz val="11"/>
      <color rgb="FF0000FF"/>
      <name val="Calibri"/>
      <charset val="0"/>
      <scheme val="minor"/>
    </font>
    <font>
      <sz val="9.75"/>
      <color rgb="FF333333"/>
      <name val="Arial"/>
      <charset val="134"/>
    </font>
    <font>
      <sz val="9.75"/>
      <color rgb="FFE11C25"/>
      <name val="Arial"/>
      <charset val="134"/>
    </font>
    <font>
      <b/>
      <sz val="11"/>
      <color rgb="FF3F3F3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/>
      <right/>
      <top style="medium">
        <color auto="1"/>
      </top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7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8" borderId="21" applyNumberFormat="0" applyAlignment="0" applyProtection="0">
      <alignment vertical="center"/>
    </xf>
    <xf numFmtId="0" fontId="15" fillId="0" borderId="22" applyNumberFormat="0" applyFill="0" applyAlignment="0" applyProtection="0">
      <alignment vertical="center"/>
    </xf>
    <xf numFmtId="0" fontId="0" fillId="18" borderId="23" applyNumberFormat="0" applyFont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2" applyNumberFormat="0" applyFill="0" applyAlignment="0" applyProtection="0">
      <alignment vertical="center"/>
    </xf>
    <xf numFmtId="0" fontId="8" fillId="0" borderId="19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1" fillId="23" borderId="20" applyNumberFormat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6" fillId="5" borderId="18" applyNumberFormat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9" fillId="5" borderId="20" applyNumberFormat="0" applyAlignment="0" applyProtection="0">
      <alignment vertical="center"/>
    </xf>
    <xf numFmtId="0" fontId="22" fillId="0" borderId="24" applyNumberFormat="0" applyFill="0" applyAlignment="0" applyProtection="0">
      <alignment vertical="center"/>
    </xf>
    <xf numFmtId="0" fontId="23" fillId="0" borderId="25" applyNumberFormat="0" applyFill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vertical="center"/>
    </xf>
    <xf numFmtId="0" fontId="0" fillId="0" borderId="0" xfId="0" applyAlignment="1">
      <alignment vertical="center"/>
    </xf>
    <xf numFmtId="0" fontId="0" fillId="0" borderId="7" xfId="0" applyBorder="1" applyAlignment="1">
      <alignment vertical="center"/>
    </xf>
    <xf numFmtId="0" fontId="2" fillId="0" borderId="0" xfId="0" applyFont="1">
      <alignment vertical="center"/>
    </xf>
    <xf numFmtId="0" fontId="2" fillId="0" borderId="0" xfId="0" applyFont="1">
      <alignment vertical="center"/>
    </xf>
    <xf numFmtId="0" fontId="0" fillId="3" borderId="7" xfId="0" applyFill="1" applyBorder="1" applyAlignment="1">
      <alignment vertical="center"/>
    </xf>
    <xf numFmtId="0" fontId="2" fillId="4" borderId="0" xfId="0" applyFont="1" applyFill="1" applyAlignment="1">
      <alignment vertical="center" wrapText="1"/>
    </xf>
    <xf numFmtId="0" fontId="0" fillId="0" borderId="8" xfId="0" applyBorder="1" applyAlignment="1">
      <alignment vertical="center"/>
    </xf>
    <xf numFmtId="0" fontId="1" fillId="2" borderId="9" xfId="0" applyFont="1" applyFill="1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3" fillId="0" borderId="0" xfId="7" applyAlignment="1">
      <alignment vertical="center"/>
    </xf>
    <xf numFmtId="0" fontId="4" fillId="0" borderId="0" xfId="0" applyFont="1">
      <alignment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0" fontId="4" fillId="0" borderId="0" xfId="0" applyFont="1">
      <alignment vertical="center"/>
    </xf>
    <xf numFmtId="0" fontId="0" fillId="0" borderId="14" xfId="0" applyBorder="1" applyAlignment="1">
      <alignment vertical="center"/>
    </xf>
    <xf numFmtId="0" fontId="0" fillId="0" borderId="15" xfId="0" applyBorder="1" applyAlignment="1">
      <alignment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0" fillId="0" borderId="6" xfId="0" applyBorder="1" applyAlignment="1" quotePrefix="1">
      <alignment vertical="center"/>
    </xf>
    <xf numFmtId="0" fontId="0" fillId="0" borderId="10" xfId="0" applyBorder="1" applyAlignment="1" quotePrefix="1">
      <alignment vertical="center"/>
    </xf>
    <xf numFmtId="0" fontId="0" fillId="0" borderId="7" xfId="0" applyBorder="1" applyAlignment="1" quotePrefix="1">
      <alignment vertical="center"/>
    </xf>
    <xf numFmtId="0" fontId="0" fillId="0" borderId="12" xfId="0" applyBorder="1" applyAlignment="1" quotePrefix="1">
      <alignment vertical="center"/>
    </xf>
    <xf numFmtId="0" fontId="0" fillId="3" borderId="7" xfId="0" applyFill="1" applyBorder="1" applyAlignment="1" quotePrefix="1">
      <alignment vertical="center"/>
    </xf>
    <xf numFmtId="0" fontId="0" fillId="0" borderId="8" xfId="0" applyBorder="1" applyAlignment="1" quotePrefix="1">
      <alignment vertical="center"/>
    </xf>
    <xf numFmtId="0" fontId="0" fillId="0" borderId="14" xfId="0" applyBorder="1" applyAlignment="1" quotePrefix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lcsc.com/product-detail/Multilayer-Ceramic-Capacitors-MLCC-SMD-SMT_Murata-Electronics-GRM155R61E105KA12D_C77009.html" TargetMode="External"/><Relationship Id="rId8" Type="http://schemas.openxmlformats.org/officeDocument/2006/relationships/hyperlink" Target="https://lcsc.com/product-detail/Tantalum-Capacitors_AVX-TAJB475K035RNJ_C7206.html" TargetMode="External"/><Relationship Id="rId7" Type="http://schemas.openxmlformats.org/officeDocument/2006/relationships/hyperlink" Target="https://lcsc.com/product-detail/Multilayer-Ceramic-Capacitors-MLCC-SMD-SMT_Samsung-Electro-Mechanics-CL10B104KB8NNNC_C1591.html" TargetMode="External"/><Relationship Id="rId6" Type="http://schemas.openxmlformats.org/officeDocument/2006/relationships/hyperlink" Target="https://lcsc.com/product-detail/Multilayer-Ceramic-Capacitors-MLCC-SMD-SMT_YAGEO-CC0603JRNPO9BN250_C282067.html" TargetMode="External"/><Relationship Id="rId5" Type="http://schemas.openxmlformats.org/officeDocument/2006/relationships/hyperlink" Target="https://lcsc.com/product-detail/Tantalum-Capacitors_ROHM-Semicon-TCP1A105M8R_C1952948.html" TargetMode="External"/><Relationship Id="rId4" Type="http://schemas.openxmlformats.org/officeDocument/2006/relationships/hyperlink" Target="https://lcsc.com/product-detail/Multilayer-Ceramic-Capacitors-MLCC-SMD-SMT_Murata-Electronics-GRM21BR61E226ME44L_C86816.html" TargetMode="External"/><Relationship Id="rId31" Type="http://schemas.openxmlformats.org/officeDocument/2006/relationships/hyperlink" Target="https://lcsc.com/product-detail/Chip-Resistor-Surface-Mount_YAGEO-RC0402FR-071ML_C138033.html" TargetMode="External"/><Relationship Id="rId30" Type="http://schemas.openxmlformats.org/officeDocument/2006/relationships/hyperlink" Target="https://lcsc.com/product-detail/Chip-Resistor-Surface-Mount_YAGEO-RC0402FR-0747KL_C93943.html" TargetMode="External"/><Relationship Id="rId3" Type="http://schemas.openxmlformats.org/officeDocument/2006/relationships/hyperlink" Target="https://lcsc.com/product-detail/Multilayer-Ceramic-Capacitors-MLCC-SMD-SMT_YAGEO-CC0402KRX7R7BB104_C60474.html" TargetMode="External"/><Relationship Id="rId29" Type="http://schemas.openxmlformats.org/officeDocument/2006/relationships/hyperlink" Target="https://lcsc.com/product-detail/Chip-Resistor-Surface-Mount_UNI-ROYAL-Uniroyal-Elec-0603WAF9103T5E_C23263.html" TargetMode="External"/><Relationship Id="rId28" Type="http://schemas.openxmlformats.org/officeDocument/2006/relationships/hyperlink" Target="https://lcsc.com/product-detail/Chip-Resistor-Surface-Mount_LIZ-Elec-CR0402JF0472G_C100658.html" TargetMode="External"/><Relationship Id="rId27" Type="http://schemas.openxmlformats.org/officeDocument/2006/relationships/hyperlink" Target="https://lcsc.com/product-detail/Chip-Resistor-Surface-Mount_YAGEO-RC0402JR-070RL_C60485.html" TargetMode="External"/><Relationship Id="rId26" Type="http://schemas.openxmlformats.org/officeDocument/2006/relationships/hyperlink" Target="https://lcsc.com/product-detail/Chip-Resistor-Surface-Mount_YAGEO-RC0402FR-07133KL_C327374.html" TargetMode="External"/><Relationship Id="rId25" Type="http://schemas.openxmlformats.org/officeDocument/2006/relationships/hyperlink" Target="https://lcsc.com/product-detail/Chip-Resistor-Surface-Mount_YAGEO-AC0402FR-0730K9L_C226983.html" TargetMode="External"/><Relationship Id="rId24" Type="http://schemas.openxmlformats.org/officeDocument/2006/relationships/hyperlink" Target="https://lcsc.com/product-detail/Chip-Resistor-Surface-Mount_YAGEO-AC0402FR-0780K6L_C227238.html" TargetMode="External"/><Relationship Id="rId23" Type="http://schemas.openxmlformats.org/officeDocument/2006/relationships/hyperlink" Target="https://lcsc.com/product-detail/Chip-Resistor-Surface-Mount_YAGEO-RC0402FR-072KL_C60488.html" TargetMode="External"/><Relationship Id="rId22" Type="http://schemas.openxmlformats.org/officeDocument/2006/relationships/hyperlink" Target="https://lcsc.com/product-detail/Chip-Resistor-Surface-Mount_YAGEO-RC0402JR-0720KL_C137902.html" TargetMode="External"/><Relationship Id="rId21" Type="http://schemas.openxmlformats.org/officeDocument/2006/relationships/hyperlink" Target="https://lcsc.com/product-detail/Chip-Resistor-Surface-Mount_RALEC-RTT02471JTH_C103058.html" TargetMode="External"/><Relationship Id="rId20" Type="http://schemas.openxmlformats.org/officeDocument/2006/relationships/hyperlink" Target="https://lcsc.com/product-detail/Power-Inductors_COILMX-MS0420-100M_C380158.html" TargetMode="External"/><Relationship Id="rId2" Type="http://schemas.openxmlformats.org/officeDocument/2006/relationships/hyperlink" Target="https://lcsc.com/product-detail/Aluminum-Electrolytic-Capacitors-SMD_ROQANG-RVT1E100M0405_C72484.html" TargetMode="External"/><Relationship Id="rId19" Type="http://schemas.openxmlformats.org/officeDocument/2006/relationships/hyperlink" Target="https://lcsc.com/product-detail/Tactile-Switches_Omron-Electronics-B3U-1000P_C231329.html" TargetMode="External"/><Relationship Id="rId18" Type="http://schemas.openxmlformats.org/officeDocument/2006/relationships/hyperlink" Target="https://lcsc.com/product-detail/Slide-Switches_XKB-Connectivity-SS-12D11L5_C319010.html" TargetMode="External"/><Relationship Id="rId17" Type="http://schemas.openxmlformats.org/officeDocument/2006/relationships/hyperlink" Target="https://lcsc.com/product-detail/MOSFETs_UMW-Youtai-Semiconductor-Co-Ltd-FDN335N_C347512.html" TargetMode="External"/><Relationship Id="rId16" Type="http://schemas.openxmlformats.org/officeDocument/2006/relationships/hyperlink" Target="https://lcsc.com/product-detail/MOSFETs_Diodes-Incorporated-ZVN3310FTA_C110533.html" TargetMode="External"/><Relationship Id="rId15" Type="http://schemas.openxmlformats.org/officeDocument/2006/relationships/hyperlink" Target="https://lcsc.com/product-detail/MOSFETs_Nexperia-PMV65XP-215_C75561.html" TargetMode="External"/><Relationship Id="rId14" Type="http://schemas.openxmlformats.org/officeDocument/2006/relationships/hyperlink" Target="https://lcsc.com/product-detail/Light-Emitting-Diodes-LED_TOGIALED-TJ-S1005SW4TGLC2R-A5_C273598.html" TargetMode="External"/><Relationship Id="rId13" Type="http://schemas.openxmlformats.org/officeDocument/2006/relationships/hyperlink" Target="https://lcsc.com/product-detail/Multilayer-Ceramic-Capacitors-MLCC-SMD-SMT_YAGEO-CC0402JRNPO9BN221_C107001.html" TargetMode="External"/><Relationship Id="rId12" Type="http://schemas.openxmlformats.org/officeDocument/2006/relationships/hyperlink" Target="https://lcsc.com/product-detail/Tantalum-Capacitors_ROHM-Semicon-TCTU1D334M8R_C209647.html" TargetMode="External"/><Relationship Id="rId11" Type="http://schemas.openxmlformats.org/officeDocument/2006/relationships/hyperlink" Target="https://lcsc.com/product-detail/Multilayer-Ceramic-Capacitors-MLCC-SMD-SMT_Taiyo-Yuden-EMK105ABJ225KV-F_C385887.html" TargetMode="External"/><Relationship Id="rId10" Type="http://schemas.openxmlformats.org/officeDocument/2006/relationships/hyperlink" Target="https://lcsc.com/product-detail/Multilayer-Ceramic-Capacitors-MLCC-SMD-SMT_Samsung-Electro-Mechanics-CL10A475KA8NQNC_C69335.html" TargetMode="External"/><Relationship Id="rId1" Type="http://schemas.openxmlformats.org/officeDocument/2006/relationships/hyperlink" Target="https://lcsc.com/product-detail/Aluminum-Electrolytic-Capacitors-SMD_PANASONIC-EEEHB1E6R8R_C33625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72"/>
  <sheetViews>
    <sheetView tabSelected="1" zoomScale="85" zoomScaleNormal="85" topLeftCell="F42" workbookViewId="0">
      <selection activeCell="U50" sqref="U50"/>
    </sheetView>
  </sheetViews>
  <sheetFormatPr defaultColWidth="9.14285714285714" defaultRowHeight="15"/>
  <cols>
    <col min="1" max="1" width="6.14285714285714" customWidth="1"/>
    <col min="2" max="2" width="19.6761904761905" customWidth="1"/>
    <col min="3" max="3" width="72.4285714285714" customWidth="1"/>
    <col min="4" max="5" width="19.6761904761905" customWidth="1"/>
    <col min="6" max="6" width="30.8571428571429" customWidth="1"/>
    <col min="7" max="7" width="20.4285714285714" customWidth="1"/>
    <col min="8" max="8" width="15.7142857142857" customWidth="1"/>
    <col min="9" max="9" width="11.1428571428571" customWidth="1"/>
    <col min="10" max="10" width="15.5714285714286" customWidth="1"/>
    <col min="11" max="11" width="13.1428571428571" customWidth="1"/>
    <col min="12" max="12" width="14.4285714285714" customWidth="1"/>
    <col min="13" max="13" width="15.7142857142857" customWidth="1"/>
    <col min="14" max="14" width="13" customWidth="1"/>
    <col min="16" max="22" width="11.8571428571429" customWidth="1"/>
    <col min="23" max="23" width="12.8571428571429" customWidth="1"/>
  </cols>
  <sheetData>
    <row r="1" ht="16.5" spans="1:24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6"/>
    </row>
    <row r="2" ht="16.5" spans="1:24">
      <c r="A2" s="3" t="s">
        <v>1</v>
      </c>
      <c r="B2" s="4" t="s">
        <v>2</v>
      </c>
      <c r="C2" s="5" t="s">
        <v>3</v>
      </c>
      <c r="D2" s="3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16" t="s">
        <v>15</v>
      </c>
      <c r="P2" s="4" t="s">
        <v>16</v>
      </c>
      <c r="Q2" s="4" t="s">
        <v>17</v>
      </c>
      <c r="R2" s="4" t="s">
        <v>18</v>
      </c>
      <c r="S2" s="4" t="s">
        <v>17</v>
      </c>
      <c r="T2" s="4" t="s">
        <v>19</v>
      </c>
      <c r="U2" s="4" t="s">
        <v>17</v>
      </c>
      <c r="V2" s="4" t="s">
        <v>20</v>
      </c>
      <c r="W2" s="4" t="s">
        <v>17</v>
      </c>
      <c r="X2" s="27" t="s">
        <v>21</v>
      </c>
    </row>
    <row r="3" ht="16.5" spans="1:24">
      <c r="A3" s="6">
        <v>1</v>
      </c>
      <c r="B3" s="7" t="s">
        <v>22</v>
      </c>
      <c r="C3" s="30" t="s">
        <v>23</v>
      </c>
      <c r="D3" s="30" t="s">
        <v>24</v>
      </c>
      <c r="E3" s="30" t="s">
        <v>25</v>
      </c>
      <c r="F3" s="30" t="s">
        <v>25</v>
      </c>
      <c r="G3" s="9"/>
      <c r="H3" s="9" t="s">
        <v>26</v>
      </c>
      <c r="I3" s="31" t="s">
        <v>27</v>
      </c>
      <c r="J3" s="18">
        <v>1</v>
      </c>
      <c r="K3" s="9">
        <f>J3*5</f>
        <v>5</v>
      </c>
      <c r="L3" s="9">
        <f>J3*50</f>
        <v>50</v>
      </c>
      <c r="M3" s="9">
        <f>J3*100</f>
        <v>100</v>
      </c>
      <c r="N3" s="9">
        <v>1</v>
      </c>
      <c r="O3" s="19" t="s">
        <v>28</v>
      </c>
      <c r="P3" s="20">
        <v>0.09</v>
      </c>
      <c r="Q3" s="20"/>
      <c r="R3" s="20">
        <v>0.09</v>
      </c>
      <c r="S3" s="9"/>
      <c r="T3" s="20">
        <v>0.0602</v>
      </c>
      <c r="U3" s="9"/>
      <c r="V3" s="28" t="s">
        <v>29</v>
      </c>
      <c r="W3" s="9"/>
      <c r="X3" s="9"/>
    </row>
    <row r="4" ht="16.5" spans="1:24">
      <c r="A4" s="1">
        <v>2</v>
      </c>
      <c r="B4" s="7"/>
      <c r="C4" s="32" t="s">
        <v>30</v>
      </c>
      <c r="D4" s="32" t="s">
        <v>31</v>
      </c>
      <c r="E4" s="32" t="s">
        <v>32</v>
      </c>
      <c r="F4" s="32" t="s">
        <v>32</v>
      </c>
      <c r="G4" s="11" t="s">
        <v>33</v>
      </c>
      <c r="H4" s="9" t="s">
        <v>34</v>
      </c>
      <c r="I4" s="33" t="s">
        <v>35</v>
      </c>
      <c r="J4" s="22">
        <v>1</v>
      </c>
      <c r="K4" s="9">
        <f t="shared" ref="K4:K35" si="0">J4*5</f>
        <v>5</v>
      </c>
      <c r="L4" s="9">
        <f t="shared" ref="L4:L35" si="1">J4*50</f>
        <v>50</v>
      </c>
      <c r="M4" s="9">
        <f t="shared" ref="M4:M35" si="2">J4*100</f>
        <v>100</v>
      </c>
      <c r="N4" s="9">
        <v>20</v>
      </c>
      <c r="O4" s="19" t="s">
        <v>28</v>
      </c>
      <c r="P4" s="20">
        <v>0.0388</v>
      </c>
      <c r="Q4" s="11"/>
      <c r="R4" s="20">
        <v>0.0388</v>
      </c>
      <c r="S4" s="9"/>
      <c r="T4" s="20">
        <v>0.0388</v>
      </c>
      <c r="U4" s="9"/>
      <c r="V4" s="20">
        <v>0.0388</v>
      </c>
      <c r="W4" s="9"/>
      <c r="X4" s="9"/>
    </row>
    <row r="5" ht="16.5" spans="1:24">
      <c r="A5" s="1">
        <v>3</v>
      </c>
      <c r="B5" s="7"/>
      <c r="C5" s="32" t="s">
        <v>36</v>
      </c>
      <c r="D5" s="32" t="s">
        <v>37</v>
      </c>
      <c r="E5" s="32" t="s">
        <v>38</v>
      </c>
      <c r="F5" s="32" t="s">
        <v>39</v>
      </c>
      <c r="G5" s="11" t="s">
        <v>40</v>
      </c>
      <c r="H5" s="9" t="s">
        <v>41</v>
      </c>
      <c r="I5" s="33" t="s">
        <v>42</v>
      </c>
      <c r="J5" s="22">
        <v>13</v>
      </c>
      <c r="K5" s="9">
        <f t="shared" si="0"/>
        <v>65</v>
      </c>
      <c r="L5" s="9">
        <f t="shared" si="1"/>
        <v>650</v>
      </c>
      <c r="M5" s="9">
        <f t="shared" si="2"/>
        <v>1300</v>
      </c>
      <c r="N5" s="9">
        <v>100</v>
      </c>
      <c r="O5" s="19" t="s">
        <v>28</v>
      </c>
      <c r="P5" s="20">
        <v>0.0009</v>
      </c>
      <c r="Q5" s="11"/>
      <c r="R5" s="20">
        <v>0.0009</v>
      </c>
      <c r="S5" s="9"/>
      <c r="T5" s="20">
        <v>0.0009</v>
      </c>
      <c r="U5" s="9"/>
      <c r="V5" s="20">
        <v>0.0008</v>
      </c>
      <c r="W5" s="9"/>
      <c r="X5" s="9"/>
    </row>
    <row r="6" ht="16.5" spans="1:24">
      <c r="A6" s="1">
        <v>4</v>
      </c>
      <c r="B6" s="7"/>
      <c r="C6" s="32" t="s">
        <v>43</v>
      </c>
      <c r="D6" s="32" t="s">
        <v>44</v>
      </c>
      <c r="E6" s="32" t="s">
        <v>45</v>
      </c>
      <c r="F6" s="32" t="s">
        <v>46</v>
      </c>
      <c r="G6" s="12" t="s">
        <v>47</v>
      </c>
      <c r="H6" s="9" t="s">
        <v>48</v>
      </c>
      <c r="I6" s="33" t="s">
        <v>49</v>
      </c>
      <c r="J6" s="22">
        <v>2</v>
      </c>
      <c r="K6" s="9">
        <f t="shared" si="0"/>
        <v>10</v>
      </c>
      <c r="L6" s="9">
        <f t="shared" si="1"/>
        <v>100</v>
      </c>
      <c r="M6" s="9">
        <f t="shared" si="2"/>
        <v>200</v>
      </c>
      <c r="N6" s="9">
        <v>5</v>
      </c>
      <c r="O6" s="19" t="s">
        <v>28</v>
      </c>
      <c r="P6" s="12">
        <v>0.0889</v>
      </c>
      <c r="Q6" s="9"/>
      <c r="R6" s="12">
        <v>0.0889</v>
      </c>
      <c r="S6" s="9"/>
      <c r="T6" s="23">
        <v>0.0746</v>
      </c>
      <c r="U6" s="9"/>
      <c r="V6" s="23">
        <v>0.0629</v>
      </c>
      <c r="W6" s="9"/>
      <c r="X6" s="9"/>
    </row>
    <row r="7" ht="16.5" spans="1:24">
      <c r="A7" s="6">
        <v>5</v>
      </c>
      <c r="B7" s="7"/>
      <c r="C7" s="32" t="s">
        <v>50</v>
      </c>
      <c r="D7" s="32" t="s">
        <v>51</v>
      </c>
      <c r="E7" s="32" t="s">
        <v>52</v>
      </c>
      <c r="F7" s="32" t="s">
        <v>52</v>
      </c>
      <c r="G7" s="12" t="s">
        <v>53</v>
      </c>
      <c r="H7" s="9" t="s">
        <v>54</v>
      </c>
      <c r="I7" s="33" t="s">
        <v>55</v>
      </c>
      <c r="J7" s="22">
        <v>2</v>
      </c>
      <c r="K7" s="9">
        <f t="shared" si="0"/>
        <v>10</v>
      </c>
      <c r="L7" s="9">
        <f t="shared" si="1"/>
        <v>100</v>
      </c>
      <c r="M7" s="9">
        <f t="shared" si="2"/>
        <v>200</v>
      </c>
      <c r="N7" s="9">
        <v>1</v>
      </c>
      <c r="O7" s="19" t="s">
        <v>28</v>
      </c>
      <c r="P7" s="23">
        <v>0.3052</v>
      </c>
      <c r="Q7" s="9"/>
      <c r="R7" s="23">
        <v>0.2525</v>
      </c>
      <c r="S7" s="9"/>
      <c r="T7" s="23">
        <v>0.1828</v>
      </c>
      <c r="U7" s="9"/>
      <c r="V7" s="23">
        <v>0.1828</v>
      </c>
      <c r="W7" s="9"/>
      <c r="X7" s="9"/>
    </row>
    <row r="8" ht="16.5" spans="1:24">
      <c r="A8" s="1">
        <v>6</v>
      </c>
      <c r="B8" s="7"/>
      <c r="C8" s="32" t="s">
        <v>56</v>
      </c>
      <c r="D8" s="32" t="s">
        <v>57</v>
      </c>
      <c r="E8" s="32" t="s">
        <v>58</v>
      </c>
      <c r="F8" s="32" t="s">
        <v>59</v>
      </c>
      <c r="G8" s="12" t="s">
        <v>60</v>
      </c>
      <c r="H8" s="9" t="s">
        <v>61</v>
      </c>
      <c r="I8" s="33" t="s">
        <v>62</v>
      </c>
      <c r="J8" s="22">
        <v>1</v>
      </c>
      <c r="K8" s="9">
        <f t="shared" si="0"/>
        <v>5</v>
      </c>
      <c r="L8" s="9">
        <f t="shared" si="1"/>
        <v>50</v>
      </c>
      <c r="M8" s="9">
        <f t="shared" si="2"/>
        <v>100</v>
      </c>
      <c r="N8" s="9">
        <v>50</v>
      </c>
      <c r="O8" s="19" t="s">
        <v>28</v>
      </c>
      <c r="P8" s="23">
        <v>0.0058</v>
      </c>
      <c r="Q8" s="9"/>
      <c r="R8" s="23">
        <v>0.0058</v>
      </c>
      <c r="S8" s="9"/>
      <c r="T8" s="23">
        <v>0.0058</v>
      </c>
      <c r="U8" s="9"/>
      <c r="V8" s="23">
        <v>0.0058</v>
      </c>
      <c r="W8" s="9"/>
      <c r="X8" s="9"/>
    </row>
    <row r="9" ht="16.5" spans="1:24">
      <c r="A9" s="1">
        <v>7</v>
      </c>
      <c r="B9" s="7"/>
      <c r="C9" s="32" t="s">
        <v>63</v>
      </c>
      <c r="D9" s="32" t="s">
        <v>64</v>
      </c>
      <c r="E9" s="32" t="s">
        <v>65</v>
      </c>
      <c r="F9" s="34" t="s">
        <v>66</v>
      </c>
      <c r="G9" s="9"/>
      <c r="H9" s="9" t="s">
        <v>48</v>
      </c>
      <c r="I9" s="33" t="s">
        <v>67</v>
      </c>
      <c r="J9" s="22">
        <v>4</v>
      </c>
      <c r="K9" s="9">
        <f t="shared" si="0"/>
        <v>20</v>
      </c>
      <c r="L9" s="9">
        <f t="shared" si="1"/>
        <v>200</v>
      </c>
      <c r="M9" s="9">
        <f t="shared" si="2"/>
        <v>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</row>
    <row r="10" ht="16.5" spans="1:24">
      <c r="A10" s="1">
        <v>8</v>
      </c>
      <c r="B10" s="7"/>
      <c r="C10" s="32" t="s">
        <v>68</v>
      </c>
      <c r="D10" s="32" t="s">
        <v>69</v>
      </c>
      <c r="E10" s="32" t="s">
        <v>58</v>
      </c>
      <c r="F10" s="34" t="s">
        <v>70</v>
      </c>
      <c r="G10" s="9"/>
      <c r="H10" s="9" t="s">
        <v>71</v>
      </c>
      <c r="I10" s="33" t="s">
        <v>72</v>
      </c>
      <c r="J10" s="22">
        <v>1</v>
      </c>
      <c r="K10" s="9">
        <f t="shared" si="0"/>
        <v>5</v>
      </c>
      <c r="L10" s="9">
        <f t="shared" si="1"/>
        <v>50</v>
      </c>
      <c r="M10" s="9">
        <f t="shared" si="2"/>
        <v>100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ht="16.5" spans="1:24">
      <c r="A11" s="6">
        <v>9</v>
      </c>
      <c r="B11" s="7"/>
      <c r="C11" s="32" t="s">
        <v>73</v>
      </c>
      <c r="D11" s="32" t="s">
        <v>74</v>
      </c>
      <c r="E11" s="32" t="s">
        <v>58</v>
      </c>
      <c r="F11" s="32" t="s">
        <v>75</v>
      </c>
      <c r="G11" s="12" t="s">
        <v>76</v>
      </c>
      <c r="H11" s="9" t="s">
        <v>77</v>
      </c>
      <c r="I11" s="33" t="s">
        <v>42</v>
      </c>
      <c r="J11" s="22">
        <v>4</v>
      </c>
      <c r="K11" s="9">
        <f t="shared" si="0"/>
        <v>20</v>
      </c>
      <c r="L11" s="9">
        <f t="shared" si="1"/>
        <v>200</v>
      </c>
      <c r="M11" s="9">
        <f t="shared" si="2"/>
        <v>400</v>
      </c>
      <c r="N11" s="9">
        <v>100</v>
      </c>
      <c r="O11" s="19" t="s">
        <v>28</v>
      </c>
      <c r="P11" s="23">
        <v>0.0028</v>
      </c>
      <c r="Q11" s="9"/>
      <c r="R11" s="23">
        <v>0.0028</v>
      </c>
      <c r="S11" s="9"/>
      <c r="T11" s="23">
        <v>0.0028</v>
      </c>
      <c r="U11" s="9"/>
      <c r="V11" s="23">
        <v>0.0028</v>
      </c>
      <c r="W11" s="9"/>
      <c r="X11" s="9"/>
    </row>
    <row r="12" ht="16.5" spans="1:24">
      <c r="A12" s="1">
        <v>10</v>
      </c>
      <c r="B12" s="7"/>
      <c r="C12" s="32" t="s">
        <v>78</v>
      </c>
      <c r="D12" s="32" t="s">
        <v>79</v>
      </c>
      <c r="E12" s="32" t="s">
        <v>80</v>
      </c>
      <c r="F12" s="32" t="s">
        <v>80</v>
      </c>
      <c r="G12" s="12" t="s">
        <v>81</v>
      </c>
      <c r="H12" s="9" t="s">
        <v>82</v>
      </c>
      <c r="I12" s="33" t="s">
        <v>83</v>
      </c>
      <c r="J12" s="22">
        <v>1</v>
      </c>
      <c r="K12" s="9">
        <f t="shared" si="0"/>
        <v>5</v>
      </c>
      <c r="L12" s="9">
        <f t="shared" si="1"/>
        <v>50</v>
      </c>
      <c r="M12" s="9">
        <f t="shared" si="2"/>
        <v>100</v>
      </c>
      <c r="N12" s="9">
        <v>1</v>
      </c>
      <c r="O12" s="19" t="s">
        <v>28</v>
      </c>
      <c r="P12" s="23">
        <v>0.2453</v>
      </c>
      <c r="Q12" s="9"/>
      <c r="R12" s="23">
        <v>0.2453</v>
      </c>
      <c r="S12" s="9"/>
      <c r="T12" s="23">
        <v>0.1695</v>
      </c>
      <c r="U12" s="9"/>
      <c r="V12" s="23">
        <v>0.1433</v>
      </c>
      <c r="W12" s="9"/>
      <c r="X12" s="9"/>
    </row>
    <row r="13" ht="16.5" spans="1:24">
      <c r="A13" s="1">
        <v>11</v>
      </c>
      <c r="B13" s="7"/>
      <c r="C13" s="32" t="s">
        <v>84</v>
      </c>
      <c r="D13" s="32" t="s">
        <v>85</v>
      </c>
      <c r="E13" s="32" t="s">
        <v>86</v>
      </c>
      <c r="F13" s="34" t="s">
        <v>86</v>
      </c>
      <c r="G13" s="9"/>
      <c r="H13" s="9" t="s">
        <v>87</v>
      </c>
      <c r="I13" s="33" t="s">
        <v>88</v>
      </c>
      <c r="J13" s="22">
        <v>1</v>
      </c>
      <c r="K13" s="9">
        <f t="shared" si="0"/>
        <v>5</v>
      </c>
      <c r="L13" s="9">
        <f t="shared" si="1"/>
        <v>50</v>
      </c>
      <c r="M13" s="9">
        <f t="shared" si="2"/>
        <v>100</v>
      </c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</row>
    <row r="14" ht="16.5" spans="1:24">
      <c r="A14" s="1">
        <v>12</v>
      </c>
      <c r="B14" s="7"/>
      <c r="C14" s="32" t="s">
        <v>89</v>
      </c>
      <c r="D14" s="32" t="s">
        <v>90</v>
      </c>
      <c r="E14" s="32" t="s">
        <v>38</v>
      </c>
      <c r="F14" s="32" t="s">
        <v>91</v>
      </c>
      <c r="G14" s="14" t="s">
        <v>92</v>
      </c>
      <c r="H14" s="9" t="s">
        <v>48</v>
      </c>
      <c r="I14" s="33" t="s">
        <v>93</v>
      </c>
      <c r="J14" s="22">
        <v>2</v>
      </c>
      <c r="K14" s="9">
        <f t="shared" si="0"/>
        <v>10</v>
      </c>
      <c r="L14" s="9">
        <f t="shared" si="1"/>
        <v>100</v>
      </c>
      <c r="M14" s="9">
        <f t="shared" si="2"/>
        <v>200</v>
      </c>
      <c r="N14" s="9">
        <v>50</v>
      </c>
      <c r="O14" s="19" t="s">
        <v>28</v>
      </c>
      <c r="P14" s="12">
        <v>0.0073</v>
      </c>
      <c r="Q14" s="9"/>
      <c r="R14" s="12">
        <v>0.0073</v>
      </c>
      <c r="S14" s="9"/>
      <c r="T14" s="12">
        <v>0.0073</v>
      </c>
      <c r="U14" s="9"/>
      <c r="V14" s="12">
        <v>0.0073</v>
      </c>
      <c r="W14" s="9"/>
      <c r="X14" s="9"/>
    </row>
    <row r="15" ht="16.5" spans="1:24">
      <c r="A15" s="6">
        <v>13</v>
      </c>
      <c r="B15" s="7"/>
      <c r="C15" s="32" t="s">
        <v>94</v>
      </c>
      <c r="D15" s="32" t="s">
        <v>95</v>
      </c>
      <c r="E15" s="32" t="s">
        <v>58</v>
      </c>
      <c r="F15" s="32" t="s">
        <v>96</v>
      </c>
      <c r="G15" s="12" t="s">
        <v>97</v>
      </c>
      <c r="H15" s="9" t="s">
        <v>77</v>
      </c>
      <c r="I15" s="33" t="s">
        <v>98</v>
      </c>
      <c r="J15" s="22">
        <v>2</v>
      </c>
      <c r="K15" s="9">
        <f t="shared" si="0"/>
        <v>10</v>
      </c>
      <c r="L15" s="9">
        <f t="shared" si="1"/>
        <v>100</v>
      </c>
      <c r="M15" s="9">
        <f t="shared" si="2"/>
        <v>200</v>
      </c>
      <c r="N15" s="9">
        <v>20</v>
      </c>
      <c r="O15" s="19" t="s">
        <v>28</v>
      </c>
      <c r="P15" s="23">
        <v>0.0212</v>
      </c>
      <c r="Q15" s="9"/>
      <c r="R15" s="23">
        <v>0.0212</v>
      </c>
      <c r="S15" s="9"/>
      <c r="T15" s="23">
        <v>0.0212</v>
      </c>
      <c r="U15" s="9"/>
      <c r="V15" s="23">
        <v>0.0174</v>
      </c>
      <c r="W15" s="9"/>
      <c r="X15" s="9"/>
    </row>
    <row r="16" ht="16.5" spans="1:24">
      <c r="A16" s="1">
        <v>14</v>
      </c>
      <c r="B16" s="7"/>
      <c r="C16" s="32" t="s">
        <v>99</v>
      </c>
      <c r="D16" s="32" t="s">
        <v>100</v>
      </c>
      <c r="E16" s="32" t="s">
        <v>38</v>
      </c>
      <c r="F16" s="32" t="s">
        <v>101</v>
      </c>
      <c r="G16" s="12" t="s">
        <v>102</v>
      </c>
      <c r="H16" s="9" t="s">
        <v>103</v>
      </c>
      <c r="I16" s="33" t="s">
        <v>104</v>
      </c>
      <c r="J16" s="22">
        <v>2</v>
      </c>
      <c r="K16" s="9">
        <f t="shared" si="0"/>
        <v>10</v>
      </c>
      <c r="L16" s="9">
        <f t="shared" si="1"/>
        <v>100</v>
      </c>
      <c r="M16" s="9">
        <f t="shared" si="2"/>
        <v>200</v>
      </c>
      <c r="N16" s="9">
        <v>50</v>
      </c>
      <c r="O16" s="19" t="s">
        <v>28</v>
      </c>
      <c r="P16" s="23">
        <v>0.0099</v>
      </c>
      <c r="Q16" s="9"/>
      <c r="R16" s="23">
        <v>0.0099</v>
      </c>
      <c r="S16" s="9"/>
      <c r="T16" s="23">
        <v>0.0099</v>
      </c>
      <c r="U16" s="9"/>
      <c r="V16" s="23">
        <v>0.0099</v>
      </c>
      <c r="W16" s="9"/>
      <c r="X16" s="9"/>
    </row>
    <row r="17" ht="16.5" spans="1:24">
      <c r="A17" s="1">
        <v>15</v>
      </c>
      <c r="B17" s="7"/>
      <c r="C17" s="32" t="s">
        <v>105</v>
      </c>
      <c r="D17" s="32" t="s">
        <v>106</v>
      </c>
      <c r="E17" s="32" t="s">
        <v>107</v>
      </c>
      <c r="F17" s="32" t="s">
        <v>107</v>
      </c>
      <c r="G17" s="12" t="s">
        <v>108</v>
      </c>
      <c r="H17" s="9" t="s">
        <v>109</v>
      </c>
      <c r="I17" s="33" t="s">
        <v>110</v>
      </c>
      <c r="J17" s="22">
        <v>1</v>
      </c>
      <c r="K17" s="9">
        <f t="shared" si="0"/>
        <v>5</v>
      </c>
      <c r="L17" s="9">
        <f t="shared" si="1"/>
        <v>50</v>
      </c>
      <c r="M17" s="9">
        <f t="shared" si="2"/>
        <v>100</v>
      </c>
      <c r="N17" s="9">
        <v>1</v>
      </c>
      <c r="O17" s="19" t="s">
        <v>28</v>
      </c>
      <c r="P17" s="23">
        <v>0.1906</v>
      </c>
      <c r="Q17" s="9"/>
      <c r="R17" s="23">
        <v>0.1906</v>
      </c>
      <c r="S17" s="9"/>
      <c r="T17" s="23">
        <v>0.1366</v>
      </c>
      <c r="U17" s="9"/>
      <c r="V17" s="23">
        <v>0.1178</v>
      </c>
      <c r="W17" s="9"/>
      <c r="X17" s="9"/>
    </row>
    <row r="18" ht="16.5" spans="1:24">
      <c r="A18" s="1">
        <v>16</v>
      </c>
      <c r="B18" s="7"/>
      <c r="C18" s="32" t="s">
        <v>111</v>
      </c>
      <c r="D18" s="32" t="s">
        <v>112</v>
      </c>
      <c r="E18" s="32" t="s">
        <v>38</v>
      </c>
      <c r="F18" s="32" t="s">
        <v>113</v>
      </c>
      <c r="G18" s="12" t="s">
        <v>114</v>
      </c>
      <c r="H18" s="9" t="s">
        <v>41</v>
      </c>
      <c r="I18" s="33" t="s">
        <v>115</v>
      </c>
      <c r="J18" s="22">
        <v>1</v>
      </c>
      <c r="K18" s="9">
        <f t="shared" si="0"/>
        <v>5</v>
      </c>
      <c r="L18" s="9">
        <f t="shared" si="1"/>
        <v>50</v>
      </c>
      <c r="M18" s="9">
        <f t="shared" si="2"/>
        <v>100</v>
      </c>
      <c r="N18" s="9">
        <v>100</v>
      </c>
      <c r="O18" s="19" t="s">
        <v>28</v>
      </c>
      <c r="P18" s="23">
        <v>0.0039</v>
      </c>
      <c r="Q18" s="9"/>
      <c r="R18" s="23">
        <v>0.0039</v>
      </c>
      <c r="S18" s="9"/>
      <c r="T18" s="23">
        <v>0.0039</v>
      </c>
      <c r="U18" s="9"/>
      <c r="V18" s="23">
        <v>0.0039</v>
      </c>
      <c r="W18" s="9"/>
      <c r="X18" s="9"/>
    </row>
    <row r="19" ht="16.5" spans="1:24">
      <c r="A19" s="6">
        <v>17</v>
      </c>
      <c r="B19" s="7" t="s">
        <v>116</v>
      </c>
      <c r="C19" s="32" t="s">
        <v>117</v>
      </c>
      <c r="D19" s="32" t="s">
        <v>118</v>
      </c>
      <c r="E19" s="32" t="s">
        <v>119</v>
      </c>
      <c r="F19" s="34" t="s">
        <v>120</v>
      </c>
      <c r="G19" s="9"/>
      <c r="H19" s="9" t="s">
        <v>121</v>
      </c>
      <c r="I19" s="33" t="s">
        <v>120</v>
      </c>
      <c r="J19" s="22">
        <v>3</v>
      </c>
      <c r="K19" s="9">
        <f t="shared" si="0"/>
        <v>15</v>
      </c>
      <c r="L19" s="9">
        <f t="shared" si="1"/>
        <v>150</v>
      </c>
      <c r="M19" s="9">
        <f t="shared" si="2"/>
        <v>300</v>
      </c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</row>
    <row r="20" ht="16.5" spans="1:24">
      <c r="A20" s="1">
        <v>18</v>
      </c>
      <c r="B20" s="7" t="s">
        <v>122</v>
      </c>
      <c r="C20" s="32" t="s">
        <v>123</v>
      </c>
      <c r="D20" s="32" t="s">
        <v>124</v>
      </c>
      <c r="E20" s="32" t="s">
        <v>125</v>
      </c>
      <c r="F20" s="32" t="s">
        <v>126</v>
      </c>
      <c r="G20" s="12" t="s">
        <v>127</v>
      </c>
      <c r="H20" s="9" t="s">
        <v>128</v>
      </c>
      <c r="I20" s="33" t="s">
        <v>126</v>
      </c>
      <c r="J20" s="22">
        <v>2</v>
      </c>
      <c r="K20" s="9">
        <f t="shared" si="0"/>
        <v>10</v>
      </c>
      <c r="L20" s="9">
        <f t="shared" si="1"/>
        <v>100</v>
      </c>
      <c r="M20" s="9">
        <f t="shared" si="2"/>
        <v>200</v>
      </c>
      <c r="N20" s="9">
        <v>10</v>
      </c>
      <c r="O20" s="19" t="s">
        <v>28</v>
      </c>
      <c r="P20" s="23">
        <v>0.0498</v>
      </c>
      <c r="Q20" s="9"/>
      <c r="R20" s="23">
        <v>0.0498</v>
      </c>
      <c r="S20" s="9"/>
      <c r="T20" s="23">
        <v>0.0412</v>
      </c>
      <c r="U20" s="9"/>
      <c r="V20" s="23">
        <v>0.0412</v>
      </c>
      <c r="W20" s="9"/>
      <c r="X20" s="9"/>
    </row>
    <row r="21" ht="16.5" spans="1:24">
      <c r="A21" s="1">
        <v>19</v>
      </c>
      <c r="B21" s="7" t="s">
        <v>129</v>
      </c>
      <c r="C21" s="32" t="s">
        <v>130</v>
      </c>
      <c r="D21" s="32" t="s">
        <v>131</v>
      </c>
      <c r="E21" s="32" t="s">
        <v>132</v>
      </c>
      <c r="F21" s="34" t="s">
        <v>133</v>
      </c>
      <c r="G21" s="9"/>
      <c r="H21" s="9" t="s">
        <v>134</v>
      </c>
      <c r="I21" s="33" t="s">
        <v>133</v>
      </c>
      <c r="J21" s="22">
        <v>1</v>
      </c>
      <c r="K21" s="9">
        <f t="shared" si="0"/>
        <v>5</v>
      </c>
      <c r="L21" s="9">
        <f t="shared" si="1"/>
        <v>50</v>
      </c>
      <c r="M21" s="9">
        <f t="shared" si="2"/>
        <v>100</v>
      </c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</row>
    <row r="22" ht="16.5" spans="1:24">
      <c r="A22" s="1">
        <v>20</v>
      </c>
      <c r="B22" s="7"/>
      <c r="C22" s="32" t="s">
        <v>135</v>
      </c>
      <c r="D22" s="32" t="s">
        <v>136</v>
      </c>
      <c r="E22" s="32" t="s">
        <v>132</v>
      </c>
      <c r="F22" s="32" t="s">
        <v>137</v>
      </c>
      <c r="G22" s="12" t="s">
        <v>138</v>
      </c>
      <c r="H22" s="9" t="s">
        <v>121</v>
      </c>
      <c r="I22" s="33" t="s">
        <v>137</v>
      </c>
      <c r="J22" s="22">
        <v>1</v>
      </c>
      <c r="K22" s="9">
        <f t="shared" si="0"/>
        <v>5</v>
      </c>
      <c r="L22" s="9">
        <f t="shared" si="1"/>
        <v>50</v>
      </c>
      <c r="M22" s="9">
        <f t="shared" si="2"/>
        <v>100</v>
      </c>
      <c r="N22" s="9">
        <v>1</v>
      </c>
      <c r="O22" s="19" t="s">
        <v>28</v>
      </c>
      <c r="P22" s="23">
        <v>0.1872</v>
      </c>
      <c r="Q22" s="9"/>
      <c r="R22" s="23">
        <v>0.1872</v>
      </c>
      <c r="S22" s="9"/>
      <c r="T22" s="23">
        <v>0.1306</v>
      </c>
      <c r="U22" s="9"/>
      <c r="V22" s="23">
        <v>0.111</v>
      </c>
      <c r="W22" s="9"/>
      <c r="X22" s="9"/>
    </row>
    <row r="23" ht="16.5" spans="1:24">
      <c r="A23" s="6">
        <v>21</v>
      </c>
      <c r="B23" s="7"/>
      <c r="C23" s="32" t="s">
        <v>139</v>
      </c>
      <c r="D23" s="32" t="s">
        <v>140</v>
      </c>
      <c r="E23" s="32" t="s">
        <v>132</v>
      </c>
      <c r="F23" s="32" t="s">
        <v>141</v>
      </c>
      <c r="G23" s="12" t="s">
        <v>142</v>
      </c>
      <c r="H23" s="9" t="s">
        <v>143</v>
      </c>
      <c r="I23" s="33" t="s">
        <v>141</v>
      </c>
      <c r="J23" s="22">
        <v>1</v>
      </c>
      <c r="K23" s="9">
        <f t="shared" si="0"/>
        <v>5</v>
      </c>
      <c r="L23" s="9">
        <f t="shared" si="1"/>
        <v>50</v>
      </c>
      <c r="M23" s="9">
        <f t="shared" si="2"/>
        <v>100</v>
      </c>
      <c r="N23" s="9">
        <v>1</v>
      </c>
      <c r="O23" s="19" t="s">
        <v>28</v>
      </c>
      <c r="P23" s="23">
        <v>0.2015</v>
      </c>
      <c r="Q23" s="9"/>
      <c r="R23" s="23">
        <v>0.2015</v>
      </c>
      <c r="S23" s="9"/>
      <c r="T23" s="23">
        <v>0.1373</v>
      </c>
      <c r="U23" s="9"/>
      <c r="V23" s="23">
        <v>0.115</v>
      </c>
      <c r="W23" s="9"/>
      <c r="X23" s="9"/>
    </row>
    <row r="24" ht="16.5" spans="1:24">
      <c r="A24" s="1">
        <v>22</v>
      </c>
      <c r="B24" s="7"/>
      <c r="C24" s="32" t="s">
        <v>144</v>
      </c>
      <c r="D24" s="32" t="s">
        <v>145</v>
      </c>
      <c r="E24" s="32" t="s">
        <v>132</v>
      </c>
      <c r="F24" s="32" t="s">
        <v>146</v>
      </c>
      <c r="G24" s="12" t="s">
        <v>147</v>
      </c>
      <c r="H24" s="9" t="s">
        <v>134</v>
      </c>
      <c r="I24" s="33" t="s">
        <v>146</v>
      </c>
      <c r="J24" s="22">
        <v>1</v>
      </c>
      <c r="K24" s="9">
        <f t="shared" si="0"/>
        <v>5</v>
      </c>
      <c r="L24" s="9">
        <f t="shared" si="1"/>
        <v>50</v>
      </c>
      <c r="M24" s="9">
        <f t="shared" si="2"/>
        <v>100</v>
      </c>
      <c r="N24" s="9">
        <v>10</v>
      </c>
      <c r="O24" s="19" t="s">
        <v>28</v>
      </c>
      <c r="P24" s="23">
        <v>0.0555</v>
      </c>
      <c r="Q24" s="9"/>
      <c r="R24" s="23">
        <v>0.0555</v>
      </c>
      <c r="S24" s="9"/>
      <c r="T24" s="23">
        <v>0.0555</v>
      </c>
      <c r="U24" s="9"/>
      <c r="V24" s="23">
        <v>0.0451</v>
      </c>
      <c r="W24" s="9"/>
      <c r="X24" s="9"/>
    </row>
    <row r="25" ht="16.5" spans="1:24">
      <c r="A25" s="1">
        <v>23</v>
      </c>
      <c r="B25" s="7"/>
      <c r="C25" s="32" t="s">
        <v>148</v>
      </c>
      <c r="D25" s="32" t="s">
        <v>149</v>
      </c>
      <c r="E25" s="32" t="s">
        <v>150</v>
      </c>
      <c r="F25" s="32" t="s">
        <v>150</v>
      </c>
      <c r="G25" s="9"/>
      <c r="H25" s="9" t="s">
        <v>151</v>
      </c>
      <c r="I25" s="33" t="s">
        <v>150</v>
      </c>
      <c r="J25" s="22">
        <v>1</v>
      </c>
      <c r="K25" s="9">
        <f t="shared" si="0"/>
        <v>5</v>
      </c>
      <c r="L25" s="9">
        <f t="shared" si="1"/>
        <v>50</v>
      </c>
      <c r="M25" s="9">
        <f t="shared" si="2"/>
        <v>100</v>
      </c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</row>
    <row r="26" ht="16.5" spans="1:24">
      <c r="A26" s="1">
        <v>24</v>
      </c>
      <c r="B26" s="7" t="s">
        <v>152</v>
      </c>
      <c r="C26" s="32" t="s">
        <v>153</v>
      </c>
      <c r="D26" s="32" t="s">
        <v>154</v>
      </c>
      <c r="E26" s="32" t="s">
        <v>155</v>
      </c>
      <c r="F26" s="32" t="s">
        <v>155</v>
      </c>
      <c r="G26" s="12" t="s">
        <v>156</v>
      </c>
      <c r="H26" s="9" t="s">
        <v>157</v>
      </c>
      <c r="I26" s="33" t="s">
        <v>155</v>
      </c>
      <c r="J26" s="22">
        <v>1</v>
      </c>
      <c r="K26" s="9">
        <f t="shared" si="0"/>
        <v>5</v>
      </c>
      <c r="L26" s="9">
        <f t="shared" si="1"/>
        <v>50</v>
      </c>
      <c r="M26" s="9">
        <f t="shared" si="2"/>
        <v>100</v>
      </c>
      <c r="N26" s="9">
        <v>1</v>
      </c>
      <c r="O26" s="19" t="s">
        <v>28</v>
      </c>
      <c r="P26" s="23">
        <v>0.3778</v>
      </c>
      <c r="Q26" s="9"/>
      <c r="R26" s="23">
        <v>0.3778</v>
      </c>
      <c r="S26" s="9"/>
      <c r="T26" s="23">
        <v>0.2558</v>
      </c>
      <c r="U26" s="9"/>
      <c r="V26" s="29" t="s">
        <v>158</v>
      </c>
      <c r="W26" s="9"/>
      <c r="X26" s="9"/>
    </row>
    <row r="27" ht="16.5" spans="1:24">
      <c r="A27" s="6">
        <v>25</v>
      </c>
      <c r="B27" s="7"/>
      <c r="C27" s="32" t="s">
        <v>159</v>
      </c>
      <c r="D27" s="32" t="s">
        <v>160</v>
      </c>
      <c r="E27" s="32" t="s">
        <v>161</v>
      </c>
      <c r="F27" s="32" t="s">
        <v>161</v>
      </c>
      <c r="G27" s="12" t="s">
        <v>162</v>
      </c>
      <c r="H27" s="9" t="s">
        <v>163</v>
      </c>
      <c r="I27" s="33" t="s">
        <v>161</v>
      </c>
      <c r="J27" s="22">
        <v>1</v>
      </c>
      <c r="K27" s="9">
        <f t="shared" si="0"/>
        <v>5</v>
      </c>
      <c r="L27" s="9">
        <f t="shared" si="1"/>
        <v>50</v>
      </c>
      <c r="M27" s="9">
        <f t="shared" si="2"/>
        <v>100</v>
      </c>
      <c r="N27" s="9">
        <v>1</v>
      </c>
      <c r="O27" s="19" t="s">
        <v>28</v>
      </c>
      <c r="P27" s="23">
        <v>0.8223</v>
      </c>
      <c r="Q27" s="9"/>
      <c r="R27" s="23">
        <v>0.8223</v>
      </c>
      <c r="S27" s="9"/>
      <c r="T27" s="23">
        <v>0.5951</v>
      </c>
      <c r="U27" s="9"/>
      <c r="V27" s="23">
        <v>0.5176</v>
      </c>
      <c r="W27" s="9"/>
      <c r="X27" s="9"/>
    </row>
    <row r="28" ht="16.5" spans="1:24">
      <c r="A28" s="1">
        <v>26</v>
      </c>
      <c r="B28" s="7" t="s">
        <v>164</v>
      </c>
      <c r="C28" s="32" t="s">
        <v>165</v>
      </c>
      <c r="D28" s="32" t="s">
        <v>166</v>
      </c>
      <c r="E28" s="32" t="s">
        <v>167</v>
      </c>
      <c r="F28" s="32" t="s">
        <v>167</v>
      </c>
      <c r="G28" s="12" t="s">
        <v>168</v>
      </c>
      <c r="H28" s="9" t="s">
        <v>169</v>
      </c>
      <c r="I28" s="33" t="s">
        <v>167</v>
      </c>
      <c r="J28" s="22">
        <v>1</v>
      </c>
      <c r="K28" s="9">
        <f t="shared" si="0"/>
        <v>5</v>
      </c>
      <c r="L28" s="9">
        <f t="shared" si="1"/>
        <v>50</v>
      </c>
      <c r="M28" s="9">
        <f t="shared" si="2"/>
        <v>100</v>
      </c>
      <c r="N28" s="9">
        <v>1</v>
      </c>
      <c r="O28" s="19" t="s">
        <v>28</v>
      </c>
      <c r="P28" s="23">
        <v>0.3391</v>
      </c>
      <c r="Q28" s="9"/>
      <c r="R28" s="23">
        <v>0.3391</v>
      </c>
      <c r="S28" s="9"/>
      <c r="T28" s="23">
        <v>0.2395</v>
      </c>
      <c r="U28" s="9"/>
      <c r="V28" s="23">
        <v>0.205</v>
      </c>
      <c r="W28" s="9"/>
      <c r="X28" s="9"/>
    </row>
    <row r="29" ht="16.5" spans="1:24">
      <c r="A29" s="1">
        <v>27</v>
      </c>
      <c r="B29" s="7" t="s">
        <v>170</v>
      </c>
      <c r="C29" s="35" t="s">
        <v>171</v>
      </c>
      <c r="D29" s="35" t="s">
        <v>172</v>
      </c>
      <c r="E29" s="35" t="s">
        <v>173</v>
      </c>
      <c r="F29" s="35" t="s">
        <v>173</v>
      </c>
      <c r="G29" s="9"/>
      <c r="H29" t="s">
        <v>174</v>
      </c>
      <c r="I29" s="36" t="s">
        <v>173</v>
      </c>
      <c r="J29" s="25">
        <v>2</v>
      </c>
      <c r="K29" s="9">
        <f t="shared" si="0"/>
        <v>10</v>
      </c>
      <c r="L29" s="9">
        <f t="shared" si="1"/>
        <v>100</v>
      </c>
      <c r="M29" s="9">
        <f t="shared" si="2"/>
        <v>200</v>
      </c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</row>
    <row r="30" ht="16.5" spans="1:24">
      <c r="A30" s="1">
        <v>28</v>
      </c>
      <c r="B30" s="7" t="s">
        <v>175</v>
      </c>
      <c r="C30" s="32" t="s">
        <v>176</v>
      </c>
      <c r="D30" s="32" t="s">
        <v>177</v>
      </c>
      <c r="E30" s="32" t="s">
        <v>178</v>
      </c>
      <c r="F30" s="32" t="s">
        <v>179</v>
      </c>
      <c r="G30" s="12" t="s">
        <v>180</v>
      </c>
      <c r="H30" s="9" t="s">
        <v>181</v>
      </c>
      <c r="I30" s="33" t="s">
        <v>182</v>
      </c>
      <c r="J30" s="22">
        <v>1</v>
      </c>
      <c r="K30" s="9">
        <f t="shared" si="0"/>
        <v>5</v>
      </c>
      <c r="L30" s="9">
        <f t="shared" si="1"/>
        <v>50</v>
      </c>
      <c r="M30" s="9">
        <f t="shared" si="2"/>
        <v>100</v>
      </c>
      <c r="N30" s="9">
        <v>100</v>
      </c>
      <c r="O30" s="19" t="s">
        <v>28</v>
      </c>
      <c r="P30" s="23">
        <v>0.0007</v>
      </c>
      <c r="Q30" s="9"/>
      <c r="R30" s="23">
        <v>0.0007</v>
      </c>
      <c r="S30" s="9"/>
      <c r="T30" s="23">
        <v>0.0007</v>
      </c>
      <c r="U30" s="9"/>
      <c r="V30" s="23">
        <v>0.0007</v>
      </c>
      <c r="W30" s="9"/>
      <c r="X30" s="9"/>
    </row>
    <row r="31" ht="16.5" spans="1:24">
      <c r="A31" s="6">
        <v>29</v>
      </c>
      <c r="B31" s="7"/>
      <c r="C31" s="32" t="s">
        <v>183</v>
      </c>
      <c r="D31" s="32" t="s">
        <v>184</v>
      </c>
      <c r="E31" s="32" t="s">
        <v>185</v>
      </c>
      <c r="F31" s="32" t="s">
        <v>186</v>
      </c>
      <c r="G31" s="9"/>
      <c r="H31" s="9" t="s">
        <v>187</v>
      </c>
      <c r="I31" s="33" t="s">
        <v>188</v>
      </c>
      <c r="J31" s="22">
        <v>1</v>
      </c>
      <c r="K31" s="9">
        <f t="shared" si="0"/>
        <v>5</v>
      </c>
      <c r="L31" s="9">
        <f t="shared" si="1"/>
        <v>50</v>
      </c>
      <c r="M31" s="9">
        <f t="shared" si="2"/>
        <v>100</v>
      </c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</row>
    <row r="32" ht="16.5" spans="1:24">
      <c r="A32" s="1">
        <v>30</v>
      </c>
      <c r="B32" s="7"/>
      <c r="C32" s="32" t="s">
        <v>189</v>
      </c>
      <c r="D32" s="32" t="s">
        <v>190</v>
      </c>
      <c r="E32" s="32" t="s">
        <v>178</v>
      </c>
      <c r="F32" s="32" t="s">
        <v>191</v>
      </c>
      <c r="G32" s="12" t="s">
        <v>192</v>
      </c>
      <c r="H32" s="9" t="s">
        <v>41</v>
      </c>
      <c r="I32" s="33" t="s">
        <v>193</v>
      </c>
      <c r="J32" s="22">
        <v>7</v>
      </c>
      <c r="K32" s="9">
        <f t="shared" si="0"/>
        <v>35</v>
      </c>
      <c r="L32" s="9">
        <f t="shared" si="1"/>
        <v>350</v>
      </c>
      <c r="M32" s="9">
        <f t="shared" si="2"/>
        <v>700</v>
      </c>
      <c r="N32" s="9">
        <v>100</v>
      </c>
      <c r="O32" s="19" t="s">
        <v>28</v>
      </c>
      <c r="P32" s="23">
        <v>0.0023</v>
      </c>
      <c r="Q32" s="9"/>
      <c r="R32" s="23">
        <v>0.0023</v>
      </c>
      <c r="S32" s="9"/>
      <c r="T32" s="23">
        <v>0.0023</v>
      </c>
      <c r="U32" s="9"/>
      <c r="V32" s="23">
        <v>0.0023</v>
      </c>
      <c r="W32" s="9"/>
      <c r="X32" s="9"/>
    </row>
    <row r="33" ht="16.5" spans="1:24">
      <c r="A33" s="1">
        <v>31</v>
      </c>
      <c r="B33" s="7"/>
      <c r="C33" s="32" t="s">
        <v>194</v>
      </c>
      <c r="D33" s="32" t="s">
        <v>195</v>
      </c>
      <c r="E33" s="32" t="s">
        <v>178</v>
      </c>
      <c r="F33" s="32" t="s">
        <v>196</v>
      </c>
      <c r="G33" s="12" t="s">
        <v>197</v>
      </c>
      <c r="H33" s="9" t="s">
        <v>41</v>
      </c>
      <c r="I33" s="33" t="s">
        <v>198</v>
      </c>
      <c r="J33" s="22">
        <v>1</v>
      </c>
      <c r="K33" s="9">
        <f t="shared" si="0"/>
        <v>5</v>
      </c>
      <c r="L33" s="9">
        <f t="shared" si="1"/>
        <v>50</v>
      </c>
      <c r="M33" s="9">
        <f t="shared" si="2"/>
        <v>100</v>
      </c>
      <c r="N33" s="9">
        <v>100</v>
      </c>
      <c r="O33" s="19" t="s">
        <v>28</v>
      </c>
      <c r="P33" s="23">
        <v>0.0008</v>
      </c>
      <c r="Q33" s="9"/>
      <c r="R33" s="23">
        <v>0.0008</v>
      </c>
      <c r="S33" s="9"/>
      <c r="T33" s="23">
        <v>0.0008</v>
      </c>
      <c r="U33" s="9"/>
      <c r="V33" s="23">
        <v>0.0008</v>
      </c>
      <c r="W33" s="9"/>
      <c r="X33" s="9"/>
    </row>
    <row r="34" ht="16.5" spans="1:24">
      <c r="A34" s="1">
        <v>32</v>
      </c>
      <c r="B34" s="7"/>
      <c r="C34" s="32" t="s">
        <v>199</v>
      </c>
      <c r="D34" s="32" t="s">
        <v>200</v>
      </c>
      <c r="E34" s="32" t="s">
        <v>178</v>
      </c>
      <c r="F34" s="32" t="s">
        <v>201</v>
      </c>
      <c r="G34" s="14" t="s">
        <v>202</v>
      </c>
      <c r="H34" s="9" t="s">
        <v>41</v>
      </c>
      <c r="I34" s="33" t="s">
        <v>203</v>
      </c>
      <c r="J34" s="22">
        <v>1</v>
      </c>
      <c r="K34" s="9">
        <f t="shared" si="0"/>
        <v>5</v>
      </c>
      <c r="L34" s="9">
        <f t="shared" si="1"/>
        <v>50</v>
      </c>
      <c r="M34" s="9">
        <f t="shared" si="2"/>
        <v>100</v>
      </c>
      <c r="N34" s="9">
        <v>100</v>
      </c>
      <c r="O34" s="19" t="s">
        <v>28</v>
      </c>
      <c r="P34" s="23">
        <v>0.0011</v>
      </c>
      <c r="Q34" s="9"/>
      <c r="R34" s="23">
        <v>0.0011</v>
      </c>
      <c r="S34" s="9"/>
      <c r="T34" s="23">
        <v>0.0011</v>
      </c>
      <c r="U34" s="9"/>
      <c r="V34" s="23">
        <v>0.0011</v>
      </c>
      <c r="W34" s="9"/>
      <c r="X34" s="9"/>
    </row>
    <row r="35" ht="16.5" spans="1:24">
      <c r="A35" s="6">
        <v>33</v>
      </c>
      <c r="B35" s="7"/>
      <c r="C35" s="32" t="s">
        <v>204</v>
      </c>
      <c r="D35" s="32" t="s">
        <v>205</v>
      </c>
      <c r="E35" s="32" t="s">
        <v>178</v>
      </c>
      <c r="F35" s="32" t="s">
        <v>206</v>
      </c>
      <c r="G35" s="12" t="s">
        <v>207</v>
      </c>
      <c r="H35" s="9" t="s">
        <v>41</v>
      </c>
      <c r="I35" s="33" t="s">
        <v>208</v>
      </c>
      <c r="J35" s="22">
        <v>1</v>
      </c>
      <c r="K35" s="9">
        <f t="shared" si="0"/>
        <v>5</v>
      </c>
      <c r="L35" s="9">
        <f t="shared" si="1"/>
        <v>50</v>
      </c>
      <c r="M35" s="9">
        <f t="shared" si="2"/>
        <v>100</v>
      </c>
      <c r="N35" s="9">
        <v>100</v>
      </c>
      <c r="O35" s="19" t="s">
        <v>28</v>
      </c>
      <c r="P35" s="23">
        <v>0.0013</v>
      </c>
      <c r="Q35" s="9"/>
      <c r="R35" s="23">
        <v>0.0013</v>
      </c>
      <c r="S35" s="9"/>
      <c r="T35" s="23">
        <v>0.0013</v>
      </c>
      <c r="U35" s="9"/>
      <c r="V35" s="23">
        <v>0.0013</v>
      </c>
      <c r="W35" s="9"/>
      <c r="X35" s="9"/>
    </row>
    <row r="36" ht="16.5" spans="1:24">
      <c r="A36" s="1">
        <v>34</v>
      </c>
      <c r="B36" s="7"/>
      <c r="C36" s="32" t="s">
        <v>209</v>
      </c>
      <c r="D36" s="32" t="s">
        <v>210</v>
      </c>
      <c r="E36" s="32" t="s">
        <v>178</v>
      </c>
      <c r="F36" s="32" t="s">
        <v>211</v>
      </c>
      <c r="G36" s="9"/>
      <c r="H36" s="9" t="s">
        <v>212</v>
      </c>
      <c r="I36" s="33" t="s">
        <v>213</v>
      </c>
      <c r="J36" s="22">
        <v>5</v>
      </c>
      <c r="K36" s="9">
        <f t="shared" ref="K36:K72" si="3">J36*5</f>
        <v>25</v>
      </c>
      <c r="L36" s="9">
        <f t="shared" ref="L36:L72" si="4">J36*50</f>
        <v>250</v>
      </c>
      <c r="M36" s="9">
        <f t="shared" ref="M36:M72" si="5">J36*100</f>
        <v>500</v>
      </c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ht="16.5" spans="1:24">
      <c r="A37" s="1">
        <v>35</v>
      </c>
      <c r="B37" s="7"/>
      <c r="C37" s="32" t="s">
        <v>214</v>
      </c>
      <c r="D37" s="32" t="s">
        <v>215</v>
      </c>
      <c r="E37" s="32" t="s">
        <v>178</v>
      </c>
      <c r="F37" s="32" t="s">
        <v>216</v>
      </c>
      <c r="G37" s="12" t="s">
        <v>217</v>
      </c>
      <c r="H37" s="9" t="s">
        <v>41</v>
      </c>
      <c r="I37" s="33" t="s">
        <v>218</v>
      </c>
      <c r="J37" s="22">
        <v>1</v>
      </c>
      <c r="K37" s="9">
        <f t="shared" si="3"/>
        <v>5</v>
      </c>
      <c r="L37" s="9">
        <f t="shared" si="4"/>
        <v>50</v>
      </c>
      <c r="M37" s="9">
        <f t="shared" si="5"/>
        <v>100</v>
      </c>
      <c r="N37" s="9">
        <v>100</v>
      </c>
      <c r="O37" s="19" t="s">
        <v>28</v>
      </c>
      <c r="P37" s="23">
        <v>0.0009</v>
      </c>
      <c r="Q37" s="9"/>
      <c r="R37" s="23">
        <v>0.0009</v>
      </c>
      <c r="S37" s="9"/>
      <c r="T37" s="23">
        <v>0.0009</v>
      </c>
      <c r="U37" s="9"/>
      <c r="V37" s="23">
        <v>0.0009</v>
      </c>
      <c r="W37" s="9"/>
      <c r="X37" s="9"/>
    </row>
    <row r="38" ht="16.5" spans="1:24">
      <c r="A38" s="1">
        <v>36</v>
      </c>
      <c r="B38" s="7"/>
      <c r="C38" s="32" t="s">
        <v>219</v>
      </c>
      <c r="D38" s="32" t="s">
        <v>220</v>
      </c>
      <c r="E38" s="32" t="s">
        <v>178</v>
      </c>
      <c r="F38" s="32" t="s">
        <v>221</v>
      </c>
      <c r="G38" s="9"/>
      <c r="H38" s="9" t="s">
        <v>212</v>
      </c>
      <c r="I38" s="33" t="s">
        <v>222</v>
      </c>
      <c r="J38" s="22">
        <v>1</v>
      </c>
      <c r="K38" s="9">
        <f t="shared" si="3"/>
        <v>5</v>
      </c>
      <c r="L38" s="9">
        <f t="shared" si="4"/>
        <v>50</v>
      </c>
      <c r="M38" s="9">
        <f t="shared" si="5"/>
        <v>100</v>
      </c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ht="16.5" spans="1:24">
      <c r="A39" s="6">
        <v>37</v>
      </c>
      <c r="B39" s="7"/>
      <c r="C39" s="32" t="s">
        <v>223</v>
      </c>
      <c r="D39" s="32" t="s">
        <v>224</v>
      </c>
      <c r="E39" s="32" t="s">
        <v>178</v>
      </c>
      <c r="F39" s="32" t="s">
        <v>225</v>
      </c>
      <c r="G39" s="14" t="s">
        <v>226</v>
      </c>
      <c r="H39" s="9" t="s">
        <v>41</v>
      </c>
      <c r="I39" s="33" t="s">
        <v>227</v>
      </c>
      <c r="J39" s="22">
        <v>4</v>
      </c>
      <c r="K39" s="9">
        <f t="shared" si="3"/>
        <v>20</v>
      </c>
      <c r="L39" s="9">
        <f t="shared" si="4"/>
        <v>200</v>
      </c>
      <c r="M39" s="9">
        <f t="shared" si="5"/>
        <v>400</v>
      </c>
      <c r="N39" s="9">
        <v>100</v>
      </c>
      <c r="O39" s="19" t="s">
        <v>28</v>
      </c>
      <c r="P39" s="23">
        <v>0.0007</v>
      </c>
      <c r="Q39" s="9"/>
      <c r="R39" s="23">
        <v>0.0007</v>
      </c>
      <c r="S39" s="9"/>
      <c r="T39" s="23">
        <v>0.0007</v>
      </c>
      <c r="U39" s="9"/>
      <c r="V39" s="23">
        <v>0.0007</v>
      </c>
      <c r="W39" s="9"/>
      <c r="X39" s="9"/>
    </row>
    <row r="40" ht="16.5" spans="1:24">
      <c r="A40" s="1">
        <v>38</v>
      </c>
      <c r="B40" s="7"/>
      <c r="C40" s="32" t="s">
        <v>228</v>
      </c>
      <c r="D40" s="32" t="s">
        <v>229</v>
      </c>
      <c r="E40" s="32" t="s">
        <v>178</v>
      </c>
      <c r="F40" s="32" t="s">
        <v>230</v>
      </c>
      <c r="G40" s="12" t="s">
        <v>231</v>
      </c>
      <c r="H40" s="9" t="s">
        <v>232</v>
      </c>
      <c r="I40" s="33" t="s">
        <v>233</v>
      </c>
      <c r="J40" s="22">
        <v>3</v>
      </c>
      <c r="K40" s="9">
        <f t="shared" si="3"/>
        <v>15</v>
      </c>
      <c r="L40" s="9">
        <f t="shared" si="4"/>
        <v>150</v>
      </c>
      <c r="M40" s="9">
        <f t="shared" si="5"/>
        <v>300</v>
      </c>
      <c r="N40" s="9">
        <v>100</v>
      </c>
      <c r="O40" s="19" t="s">
        <v>28</v>
      </c>
      <c r="P40" s="23">
        <v>0.0009</v>
      </c>
      <c r="Q40" s="9"/>
      <c r="R40" s="23">
        <v>0.0009</v>
      </c>
      <c r="S40" s="9"/>
      <c r="T40" s="23">
        <v>0.0009</v>
      </c>
      <c r="U40" s="9"/>
      <c r="V40" s="23">
        <v>0.0009</v>
      </c>
      <c r="W40" s="9"/>
      <c r="X40" s="9"/>
    </row>
    <row r="41" ht="16.5" spans="1:24">
      <c r="A41" s="1">
        <v>39</v>
      </c>
      <c r="B41" s="7"/>
      <c r="C41" s="32" t="s">
        <v>234</v>
      </c>
      <c r="D41" s="32" t="s">
        <v>235</v>
      </c>
      <c r="E41" s="32" t="s">
        <v>236</v>
      </c>
      <c r="F41" s="32" t="s">
        <v>237</v>
      </c>
      <c r="G41" s="12" t="s">
        <v>238</v>
      </c>
      <c r="H41" s="9" t="s">
        <v>239</v>
      </c>
      <c r="I41" s="33" t="s">
        <v>240</v>
      </c>
      <c r="J41" s="22">
        <v>1</v>
      </c>
      <c r="K41" s="9">
        <f t="shared" si="3"/>
        <v>5</v>
      </c>
      <c r="L41" s="9">
        <f t="shared" si="4"/>
        <v>50</v>
      </c>
      <c r="M41" s="9">
        <f t="shared" si="5"/>
        <v>100</v>
      </c>
      <c r="N41" s="9">
        <v>100</v>
      </c>
      <c r="O41" s="19" t="s">
        <v>28</v>
      </c>
      <c r="P41" s="23">
        <v>0.0017</v>
      </c>
      <c r="Q41" s="9"/>
      <c r="R41" s="23">
        <v>0.0017</v>
      </c>
      <c r="S41" s="9"/>
      <c r="T41" s="23">
        <v>0.0017</v>
      </c>
      <c r="U41" s="9"/>
      <c r="V41" s="23">
        <v>0.0017</v>
      </c>
      <c r="W41" s="9"/>
      <c r="X41" s="9"/>
    </row>
    <row r="42" ht="16.5" spans="1:24">
      <c r="A42" s="1">
        <v>40</v>
      </c>
      <c r="B42" s="7"/>
      <c r="C42" s="32" t="s">
        <v>241</v>
      </c>
      <c r="D42" s="32" t="s">
        <v>242</v>
      </c>
      <c r="E42" s="32" t="s">
        <v>178</v>
      </c>
      <c r="F42" s="32" t="s">
        <v>243</v>
      </c>
      <c r="G42" s="12" t="s">
        <v>244</v>
      </c>
      <c r="H42" s="9" t="s">
        <v>41</v>
      </c>
      <c r="I42" s="33" t="s">
        <v>245</v>
      </c>
      <c r="J42" s="22">
        <v>3</v>
      </c>
      <c r="K42" s="9">
        <f t="shared" si="3"/>
        <v>15</v>
      </c>
      <c r="L42" s="9">
        <f t="shared" si="4"/>
        <v>150</v>
      </c>
      <c r="M42" s="9">
        <f t="shared" si="5"/>
        <v>300</v>
      </c>
      <c r="N42" s="9">
        <v>100</v>
      </c>
      <c r="O42" s="19" t="s">
        <v>28</v>
      </c>
      <c r="P42" s="23">
        <v>0.0032</v>
      </c>
      <c r="Q42" s="9"/>
      <c r="R42" s="23">
        <v>0.0032</v>
      </c>
      <c r="S42" s="9"/>
      <c r="T42" s="23">
        <v>0.0032</v>
      </c>
      <c r="U42" s="9"/>
      <c r="V42" s="23">
        <v>0.0032</v>
      </c>
      <c r="W42" s="9"/>
      <c r="X42" s="9"/>
    </row>
    <row r="43" ht="16.5" spans="1:24">
      <c r="A43" s="6">
        <v>41</v>
      </c>
      <c r="B43" s="7"/>
      <c r="C43" s="32" t="s">
        <v>246</v>
      </c>
      <c r="D43" s="32" t="s">
        <v>247</v>
      </c>
      <c r="E43" s="32" t="s">
        <v>178</v>
      </c>
      <c r="F43" s="32" t="s">
        <v>248</v>
      </c>
      <c r="G43" s="9"/>
      <c r="H43" s="9" t="s">
        <v>26</v>
      </c>
      <c r="I43" s="33" t="s">
        <v>249</v>
      </c>
      <c r="J43" s="22">
        <v>2</v>
      </c>
      <c r="K43" s="9">
        <f t="shared" si="3"/>
        <v>10</v>
      </c>
      <c r="L43" s="9">
        <f t="shared" si="4"/>
        <v>100</v>
      </c>
      <c r="M43" s="9">
        <f t="shared" si="5"/>
        <v>200</v>
      </c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</row>
    <row r="44" ht="16.5" spans="1:24">
      <c r="A44" s="1">
        <v>42</v>
      </c>
      <c r="B44" s="7"/>
      <c r="C44" s="32" t="s">
        <v>250</v>
      </c>
      <c r="D44" s="32" t="s">
        <v>251</v>
      </c>
      <c r="E44" s="32" t="s">
        <v>252</v>
      </c>
      <c r="F44" s="32" t="s">
        <v>253</v>
      </c>
      <c r="G44" s="9"/>
      <c r="H44" s="9" t="s">
        <v>254</v>
      </c>
      <c r="I44" s="33" t="s">
        <v>255</v>
      </c>
      <c r="J44" s="22">
        <v>1</v>
      </c>
      <c r="K44" s="9">
        <f t="shared" si="3"/>
        <v>5</v>
      </c>
      <c r="L44" s="9">
        <f t="shared" si="4"/>
        <v>50</v>
      </c>
      <c r="M44" s="9">
        <f t="shared" si="5"/>
        <v>100</v>
      </c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</row>
    <row r="45" ht="16.5" spans="1:24">
      <c r="A45" s="1">
        <v>43</v>
      </c>
      <c r="B45" s="7"/>
      <c r="C45" s="32" t="s">
        <v>256</v>
      </c>
      <c r="D45" s="32" t="s">
        <v>257</v>
      </c>
      <c r="E45" s="32" t="s">
        <v>178</v>
      </c>
      <c r="F45" s="32" t="s">
        <v>258</v>
      </c>
      <c r="G45" s="12" t="s">
        <v>259</v>
      </c>
      <c r="H45" s="9" t="s">
        <v>41</v>
      </c>
      <c r="I45" s="33" t="s">
        <v>260</v>
      </c>
      <c r="J45" s="22">
        <v>2</v>
      </c>
      <c r="K45" s="9">
        <f t="shared" si="3"/>
        <v>10</v>
      </c>
      <c r="L45" s="9">
        <f t="shared" si="4"/>
        <v>100</v>
      </c>
      <c r="M45" s="9">
        <f t="shared" si="5"/>
        <v>200</v>
      </c>
      <c r="N45" s="9">
        <v>100</v>
      </c>
      <c r="O45" s="19" t="s">
        <v>28</v>
      </c>
      <c r="P45" s="23">
        <v>0.0008</v>
      </c>
      <c r="Q45" s="9"/>
      <c r="R45" s="23">
        <v>0.0008</v>
      </c>
      <c r="S45" s="9"/>
      <c r="T45" s="23">
        <v>0.0008</v>
      </c>
      <c r="U45" s="9"/>
      <c r="V45" s="23">
        <v>0.0008</v>
      </c>
      <c r="W45" s="9"/>
      <c r="X45" s="9"/>
    </row>
    <row r="46" ht="16.5" spans="1:24">
      <c r="A46" s="1">
        <v>44</v>
      </c>
      <c r="B46" s="7"/>
      <c r="C46" s="32" t="s">
        <v>261</v>
      </c>
      <c r="D46" s="32" t="s">
        <v>262</v>
      </c>
      <c r="E46" s="32" t="s">
        <v>178</v>
      </c>
      <c r="F46" s="32" t="s">
        <v>263</v>
      </c>
      <c r="G46" s="9"/>
      <c r="H46" s="9" t="s">
        <v>41</v>
      </c>
      <c r="I46" s="33" t="s">
        <v>264</v>
      </c>
      <c r="J46" s="22">
        <v>1</v>
      </c>
      <c r="K46" s="9">
        <f t="shared" si="3"/>
        <v>5</v>
      </c>
      <c r="L46" s="9">
        <f t="shared" si="4"/>
        <v>50</v>
      </c>
      <c r="M46" s="9">
        <f t="shared" si="5"/>
        <v>100</v>
      </c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</row>
    <row r="47" ht="16.5" spans="1:24">
      <c r="A47" s="6">
        <v>45</v>
      </c>
      <c r="B47" s="7"/>
      <c r="C47" s="32" t="s">
        <v>265</v>
      </c>
      <c r="D47" s="32" t="s">
        <v>266</v>
      </c>
      <c r="E47" s="32" t="s">
        <v>178</v>
      </c>
      <c r="F47" s="32" t="s">
        <v>267</v>
      </c>
      <c r="G47" s="9"/>
      <c r="H47" s="9" t="s">
        <v>41</v>
      </c>
      <c r="I47" s="33" t="s">
        <v>268</v>
      </c>
      <c r="J47" s="22">
        <v>1</v>
      </c>
      <c r="K47" s="9">
        <f t="shared" si="3"/>
        <v>5</v>
      </c>
      <c r="L47" s="9">
        <f t="shared" si="4"/>
        <v>50</v>
      </c>
      <c r="M47" s="9">
        <f t="shared" si="5"/>
        <v>100</v>
      </c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</row>
    <row r="48" ht="16.5" spans="1:24">
      <c r="A48" s="1">
        <v>46</v>
      </c>
      <c r="B48" s="7"/>
      <c r="C48" s="32" t="s">
        <v>269</v>
      </c>
      <c r="D48" s="32" t="s">
        <v>270</v>
      </c>
      <c r="E48" s="32" t="s">
        <v>178</v>
      </c>
      <c r="F48" s="32" t="s">
        <v>271</v>
      </c>
      <c r="G48" s="9"/>
      <c r="H48" s="9" t="s">
        <v>41</v>
      </c>
      <c r="I48" s="33" t="s">
        <v>272</v>
      </c>
      <c r="J48" s="22">
        <v>1</v>
      </c>
      <c r="K48" s="9">
        <f t="shared" si="3"/>
        <v>5</v>
      </c>
      <c r="L48" s="9">
        <f t="shared" si="4"/>
        <v>50</v>
      </c>
      <c r="M48" s="9">
        <f t="shared" si="5"/>
        <v>100</v>
      </c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</row>
    <row r="49" ht="16.5" spans="1:24">
      <c r="A49" s="1">
        <v>47</v>
      </c>
      <c r="B49" s="7"/>
      <c r="C49" s="32" t="s">
        <v>273</v>
      </c>
      <c r="D49" s="32" t="s">
        <v>274</v>
      </c>
      <c r="E49" s="32" t="s">
        <v>178</v>
      </c>
      <c r="F49" s="32" t="s">
        <v>275</v>
      </c>
      <c r="G49" s="9"/>
      <c r="H49" s="9" t="s">
        <v>41</v>
      </c>
      <c r="I49" s="33" t="s">
        <v>276</v>
      </c>
      <c r="J49" s="22">
        <v>1</v>
      </c>
      <c r="K49" s="9">
        <f t="shared" si="3"/>
        <v>5</v>
      </c>
      <c r="L49" s="9">
        <f t="shared" si="4"/>
        <v>50</v>
      </c>
      <c r="M49" s="9">
        <f t="shared" si="5"/>
        <v>100</v>
      </c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</row>
    <row r="50" ht="16.5" spans="1:24">
      <c r="A50" s="1">
        <v>48</v>
      </c>
      <c r="B50" s="7"/>
      <c r="C50" s="32" t="s">
        <v>277</v>
      </c>
      <c r="D50" s="32" t="s">
        <v>278</v>
      </c>
      <c r="E50" s="32" t="s">
        <v>178</v>
      </c>
      <c r="F50" s="32" t="s">
        <v>279</v>
      </c>
      <c r="G50" s="9"/>
      <c r="H50" s="9" t="s">
        <v>181</v>
      </c>
      <c r="I50" s="33" t="s">
        <v>280</v>
      </c>
      <c r="J50" s="22">
        <v>1</v>
      </c>
      <c r="K50" s="9">
        <f t="shared" si="3"/>
        <v>5</v>
      </c>
      <c r="L50" s="9">
        <f t="shared" si="4"/>
        <v>50</v>
      </c>
      <c r="M50" s="9">
        <f t="shared" si="5"/>
        <v>100</v>
      </c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</row>
    <row r="51" ht="16.5" spans="1:24">
      <c r="A51" s="6">
        <v>49</v>
      </c>
      <c r="B51" s="7" t="s">
        <v>281</v>
      </c>
      <c r="C51" s="32" t="s">
        <v>282</v>
      </c>
      <c r="D51" s="32" t="s">
        <v>283</v>
      </c>
      <c r="E51" s="32" t="s">
        <v>284</v>
      </c>
      <c r="F51" s="32" t="s">
        <v>284</v>
      </c>
      <c r="G51" s="9"/>
      <c r="H51" s="9" t="s">
        <v>285</v>
      </c>
      <c r="I51" s="33" t="s">
        <v>284</v>
      </c>
      <c r="J51" s="22">
        <v>1</v>
      </c>
      <c r="K51" s="9">
        <f t="shared" si="3"/>
        <v>5</v>
      </c>
      <c r="L51" s="9">
        <f t="shared" si="4"/>
        <v>50</v>
      </c>
      <c r="M51" s="9">
        <f t="shared" si="5"/>
        <v>100</v>
      </c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</row>
    <row r="52" ht="16.5" spans="1:24">
      <c r="A52" s="1">
        <v>50</v>
      </c>
      <c r="B52" s="7"/>
      <c r="C52" s="32" t="s">
        <v>286</v>
      </c>
      <c r="D52" s="32" t="s">
        <v>287</v>
      </c>
      <c r="E52" s="32" t="s">
        <v>288</v>
      </c>
      <c r="F52" s="32" t="s">
        <v>288</v>
      </c>
      <c r="G52" s="9"/>
      <c r="H52" s="9" t="s">
        <v>289</v>
      </c>
      <c r="I52" s="33" t="s">
        <v>288</v>
      </c>
      <c r="J52" s="22">
        <v>1</v>
      </c>
      <c r="K52" s="9">
        <f t="shared" si="3"/>
        <v>5</v>
      </c>
      <c r="L52" s="9">
        <f t="shared" si="4"/>
        <v>50</v>
      </c>
      <c r="M52" s="9">
        <f t="shared" si="5"/>
        <v>100</v>
      </c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</row>
    <row r="53" ht="16.5" spans="1:24">
      <c r="A53" s="1">
        <v>51</v>
      </c>
      <c r="B53" s="7"/>
      <c r="C53" s="32" t="s">
        <v>290</v>
      </c>
      <c r="D53" s="32" t="s">
        <v>291</v>
      </c>
      <c r="E53" s="32" t="s">
        <v>132</v>
      </c>
      <c r="F53" s="32" t="s">
        <v>292</v>
      </c>
      <c r="G53" s="9"/>
      <c r="H53" s="9" t="s">
        <v>143</v>
      </c>
      <c r="I53" s="33" t="s">
        <v>292</v>
      </c>
      <c r="J53" s="22">
        <v>1</v>
      </c>
      <c r="K53" s="9">
        <f t="shared" si="3"/>
        <v>5</v>
      </c>
      <c r="L53" s="9">
        <f t="shared" si="4"/>
        <v>50</v>
      </c>
      <c r="M53" s="9">
        <f t="shared" si="5"/>
        <v>100</v>
      </c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</row>
    <row r="54" ht="16.5" spans="1:24">
      <c r="A54" s="1">
        <v>52</v>
      </c>
      <c r="B54" s="7"/>
      <c r="C54" s="32" t="s">
        <v>293</v>
      </c>
      <c r="D54" s="32" t="s">
        <v>294</v>
      </c>
      <c r="E54" s="32" t="s">
        <v>295</v>
      </c>
      <c r="F54" s="32" t="s">
        <v>295</v>
      </c>
      <c r="G54" s="9"/>
      <c r="H54" s="9" t="s">
        <v>296</v>
      </c>
      <c r="I54" s="33" t="s">
        <v>295</v>
      </c>
      <c r="J54" s="22">
        <v>1</v>
      </c>
      <c r="K54" s="9">
        <f t="shared" si="3"/>
        <v>5</v>
      </c>
      <c r="L54" s="9">
        <f t="shared" si="4"/>
        <v>50</v>
      </c>
      <c r="M54" s="9">
        <f t="shared" si="5"/>
        <v>100</v>
      </c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</row>
    <row r="55" ht="16.5" spans="1:24">
      <c r="A55" s="6">
        <v>53</v>
      </c>
      <c r="B55" s="7"/>
      <c r="C55" s="32" t="s">
        <v>297</v>
      </c>
      <c r="D55" s="32" t="s">
        <v>298</v>
      </c>
      <c r="E55" s="32" t="s">
        <v>299</v>
      </c>
      <c r="F55" s="32" t="s">
        <v>299</v>
      </c>
      <c r="G55" s="9"/>
      <c r="H55" s="9" t="s">
        <v>300</v>
      </c>
      <c r="I55" s="33" t="s">
        <v>299</v>
      </c>
      <c r="J55" s="22">
        <v>1</v>
      </c>
      <c r="K55" s="9">
        <f t="shared" si="3"/>
        <v>5</v>
      </c>
      <c r="L55" s="9">
        <f t="shared" si="4"/>
        <v>50</v>
      </c>
      <c r="M55" s="9">
        <f t="shared" si="5"/>
        <v>100</v>
      </c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</row>
    <row r="56" ht="16.5" spans="1:24">
      <c r="A56" s="1">
        <v>54</v>
      </c>
      <c r="B56" s="7"/>
      <c r="C56" s="32" t="s">
        <v>301</v>
      </c>
      <c r="D56" s="32" t="s">
        <v>302</v>
      </c>
      <c r="E56" s="32" t="s">
        <v>303</v>
      </c>
      <c r="F56" s="32" t="s">
        <v>304</v>
      </c>
      <c r="G56" s="9"/>
      <c r="H56" s="9" t="s">
        <v>305</v>
      </c>
      <c r="I56" s="33" t="s">
        <v>304</v>
      </c>
      <c r="J56" s="22">
        <v>1</v>
      </c>
      <c r="K56" s="9">
        <f t="shared" si="3"/>
        <v>5</v>
      </c>
      <c r="L56" s="9">
        <f t="shared" si="4"/>
        <v>50</v>
      </c>
      <c r="M56" s="9">
        <f t="shared" si="5"/>
        <v>100</v>
      </c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</row>
    <row r="57" ht="16.5" spans="1:24">
      <c r="A57" s="1">
        <v>55</v>
      </c>
      <c r="B57" s="7"/>
      <c r="C57" s="32" t="s">
        <v>306</v>
      </c>
      <c r="D57" s="32" t="s">
        <v>307</v>
      </c>
      <c r="E57" s="32" t="s">
        <v>308</v>
      </c>
      <c r="F57" s="32" t="s">
        <v>309</v>
      </c>
      <c r="G57" s="9"/>
      <c r="H57" s="9" t="s">
        <v>305</v>
      </c>
      <c r="I57" s="33" t="s">
        <v>309</v>
      </c>
      <c r="J57" s="22">
        <v>1</v>
      </c>
      <c r="K57" s="9">
        <f t="shared" si="3"/>
        <v>5</v>
      </c>
      <c r="L57" s="9">
        <f t="shared" si="4"/>
        <v>50</v>
      </c>
      <c r="M57" s="9">
        <f t="shared" si="5"/>
        <v>100</v>
      </c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</row>
    <row r="58" ht="16.5" spans="1:24">
      <c r="A58" s="1">
        <v>56</v>
      </c>
      <c r="B58" s="7"/>
      <c r="C58" s="32" t="s">
        <v>310</v>
      </c>
      <c r="D58" s="32" t="s">
        <v>311</v>
      </c>
      <c r="E58" s="32" t="s">
        <v>312</v>
      </c>
      <c r="F58" s="32" t="s">
        <v>312</v>
      </c>
      <c r="G58" s="9"/>
      <c r="H58" s="9" t="s">
        <v>300</v>
      </c>
      <c r="I58" s="33" t="s">
        <v>312</v>
      </c>
      <c r="J58" s="22">
        <v>1</v>
      </c>
      <c r="K58" s="9">
        <f t="shared" si="3"/>
        <v>5</v>
      </c>
      <c r="L58" s="9">
        <f t="shared" si="4"/>
        <v>50</v>
      </c>
      <c r="M58" s="9">
        <f t="shared" si="5"/>
        <v>100</v>
      </c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</row>
    <row r="59" ht="16.5" spans="1:24">
      <c r="A59" s="6">
        <v>57</v>
      </c>
      <c r="B59" s="7"/>
      <c r="C59" s="32" t="s">
        <v>313</v>
      </c>
      <c r="D59" s="32" t="s">
        <v>314</v>
      </c>
      <c r="E59" s="32" t="s">
        <v>315</v>
      </c>
      <c r="F59" s="32" t="s">
        <v>315</v>
      </c>
      <c r="G59" s="9"/>
      <c r="H59" s="9" t="s">
        <v>305</v>
      </c>
      <c r="I59" s="33" t="s">
        <v>315</v>
      </c>
      <c r="J59" s="22">
        <v>1</v>
      </c>
      <c r="K59" s="9">
        <f t="shared" si="3"/>
        <v>5</v>
      </c>
      <c r="L59" s="9">
        <f t="shared" si="4"/>
        <v>50</v>
      </c>
      <c r="M59" s="9">
        <f t="shared" si="5"/>
        <v>100</v>
      </c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</row>
    <row r="60" ht="16.5" spans="1:24">
      <c r="A60" s="1">
        <v>58</v>
      </c>
      <c r="B60" s="7"/>
      <c r="C60" s="32" t="s">
        <v>316</v>
      </c>
      <c r="D60" s="32" t="s">
        <v>317</v>
      </c>
      <c r="E60" s="32" t="s">
        <v>318</v>
      </c>
      <c r="F60" s="32" t="s">
        <v>319</v>
      </c>
      <c r="G60" s="9"/>
      <c r="H60" s="9" t="s">
        <v>320</v>
      </c>
      <c r="I60" s="33" t="s">
        <v>319</v>
      </c>
      <c r="J60" s="22">
        <v>1</v>
      </c>
      <c r="K60" s="9">
        <f t="shared" si="3"/>
        <v>5</v>
      </c>
      <c r="L60" s="9">
        <f t="shared" si="4"/>
        <v>50</v>
      </c>
      <c r="M60" s="9">
        <f t="shared" si="5"/>
        <v>100</v>
      </c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</row>
    <row r="61" ht="16.5" spans="1:24">
      <c r="A61" s="1">
        <v>59</v>
      </c>
      <c r="B61" s="7" t="s">
        <v>321</v>
      </c>
      <c r="C61" s="32" t="s">
        <v>322</v>
      </c>
      <c r="D61" s="32" t="s">
        <v>323</v>
      </c>
      <c r="E61" s="32" t="s">
        <v>324</v>
      </c>
      <c r="F61" s="32" t="s">
        <v>324</v>
      </c>
      <c r="G61" s="9"/>
      <c r="I61" s="33" t="s">
        <v>324</v>
      </c>
      <c r="J61" s="22">
        <v>1</v>
      </c>
      <c r="K61" s="9">
        <f t="shared" si="3"/>
        <v>5</v>
      </c>
      <c r="L61" s="9">
        <f t="shared" si="4"/>
        <v>50</v>
      </c>
      <c r="M61" s="9">
        <f t="shared" si="5"/>
        <v>100</v>
      </c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</row>
    <row r="62" ht="16.5" spans="1:24">
      <c r="A62" s="1">
        <v>60</v>
      </c>
      <c r="B62" s="7"/>
      <c r="C62" s="32" t="s">
        <v>325</v>
      </c>
      <c r="D62" s="32" t="s">
        <v>326</v>
      </c>
      <c r="E62" s="32" t="s">
        <v>327</v>
      </c>
      <c r="F62" s="32" t="s">
        <v>327</v>
      </c>
      <c r="G62" s="9"/>
      <c r="H62" s="9" t="s">
        <v>157</v>
      </c>
      <c r="I62" s="33" t="s">
        <v>327</v>
      </c>
      <c r="J62" s="22">
        <v>1</v>
      </c>
      <c r="K62" s="9">
        <f t="shared" si="3"/>
        <v>5</v>
      </c>
      <c r="L62" s="9">
        <f t="shared" si="4"/>
        <v>50</v>
      </c>
      <c r="M62" s="9">
        <f t="shared" si="5"/>
        <v>100</v>
      </c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</row>
    <row r="63" ht="16.5" spans="1:24">
      <c r="A63" s="6">
        <v>61</v>
      </c>
      <c r="B63" s="7"/>
      <c r="C63" s="32" t="s">
        <v>328</v>
      </c>
      <c r="D63" s="32" t="s">
        <v>329</v>
      </c>
      <c r="E63" s="32" t="s">
        <v>330</v>
      </c>
      <c r="F63" s="32" t="s">
        <v>330</v>
      </c>
      <c r="G63" s="9"/>
      <c r="H63" s="9" t="s">
        <v>331</v>
      </c>
      <c r="I63" s="33" t="s">
        <v>330</v>
      </c>
      <c r="J63" s="22">
        <v>1</v>
      </c>
      <c r="K63" s="9">
        <f t="shared" si="3"/>
        <v>5</v>
      </c>
      <c r="L63" s="9">
        <f t="shared" si="4"/>
        <v>50</v>
      </c>
      <c r="M63" s="9">
        <f t="shared" si="5"/>
        <v>100</v>
      </c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</row>
    <row r="64" ht="16.5" spans="1:24">
      <c r="A64" s="1">
        <v>62</v>
      </c>
      <c r="B64" s="7"/>
      <c r="C64" s="32" t="s">
        <v>332</v>
      </c>
      <c r="D64" s="32" t="s">
        <v>333</v>
      </c>
      <c r="E64" s="32" t="s">
        <v>334</v>
      </c>
      <c r="F64" s="32" t="s">
        <v>334</v>
      </c>
      <c r="G64" s="9"/>
      <c r="H64" s="9" t="s">
        <v>335</v>
      </c>
      <c r="I64" s="33" t="s">
        <v>334</v>
      </c>
      <c r="J64" s="22">
        <v>1</v>
      </c>
      <c r="K64" s="9">
        <f t="shared" si="3"/>
        <v>5</v>
      </c>
      <c r="L64" s="9">
        <f t="shared" si="4"/>
        <v>50</v>
      </c>
      <c r="M64" s="9">
        <f t="shared" si="5"/>
        <v>100</v>
      </c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</row>
    <row r="65" ht="16.5" spans="1:24">
      <c r="A65" s="1">
        <v>63</v>
      </c>
      <c r="B65" s="7"/>
      <c r="C65" s="32" t="s">
        <v>336</v>
      </c>
      <c r="D65" s="32" t="s">
        <v>337</v>
      </c>
      <c r="E65" s="32" t="s">
        <v>338</v>
      </c>
      <c r="F65" s="32" t="s">
        <v>338</v>
      </c>
      <c r="G65" s="9"/>
      <c r="H65" s="9" t="s">
        <v>339</v>
      </c>
      <c r="I65" s="33" t="s">
        <v>338</v>
      </c>
      <c r="J65" s="22">
        <v>1</v>
      </c>
      <c r="K65" s="9">
        <f t="shared" si="3"/>
        <v>5</v>
      </c>
      <c r="L65" s="9">
        <f t="shared" si="4"/>
        <v>50</v>
      </c>
      <c r="M65" s="9">
        <f t="shared" si="5"/>
        <v>100</v>
      </c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</row>
    <row r="66" ht="16.5" spans="1:24">
      <c r="A66" s="1">
        <v>64</v>
      </c>
      <c r="B66" s="7"/>
      <c r="C66" s="32" t="s">
        <v>340</v>
      </c>
      <c r="D66" s="32" t="s">
        <v>341</v>
      </c>
      <c r="E66" s="32" t="s">
        <v>342</v>
      </c>
      <c r="F66" s="32" t="s">
        <v>342</v>
      </c>
      <c r="G66" s="9"/>
      <c r="H66" s="9" t="s">
        <v>343</v>
      </c>
      <c r="I66" s="33" t="s">
        <v>342</v>
      </c>
      <c r="J66" s="22">
        <v>1</v>
      </c>
      <c r="K66" s="9">
        <f t="shared" si="3"/>
        <v>5</v>
      </c>
      <c r="L66" s="9">
        <f t="shared" si="4"/>
        <v>50</v>
      </c>
      <c r="M66" s="9">
        <f t="shared" si="5"/>
        <v>100</v>
      </c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</row>
    <row r="67" ht="16.5" spans="1:24">
      <c r="A67" s="6">
        <v>65</v>
      </c>
      <c r="B67" s="7"/>
      <c r="C67" s="32" t="s">
        <v>344</v>
      </c>
      <c r="D67" s="32" t="s">
        <v>345</v>
      </c>
      <c r="E67" s="32" t="s">
        <v>346</v>
      </c>
      <c r="F67" s="32" t="s">
        <v>346</v>
      </c>
      <c r="G67" s="9"/>
      <c r="H67" s="9" t="s">
        <v>347</v>
      </c>
      <c r="I67" s="33" t="s">
        <v>346</v>
      </c>
      <c r="J67" s="22">
        <v>1</v>
      </c>
      <c r="K67" s="9">
        <f t="shared" si="3"/>
        <v>5</v>
      </c>
      <c r="L67" s="9">
        <f t="shared" si="4"/>
        <v>50</v>
      </c>
      <c r="M67" s="9">
        <f t="shared" si="5"/>
        <v>100</v>
      </c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</row>
    <row r="68" ht="16.5" spans="1:24">
      <c r="A68" s="1">
        <v>66</v>
      </c>
      <c r="B68" s="7"/>
      <c r="C68" s="32" t="s">
        <v>344</v>
      </c>
      <c r="D68" s="32" t="s">
        <v>348</v>
      </c>
      <c r="E68" s="32" t="s">
        <v>349</v>
      </c>
      <c r="F68" s="32" t="s">
        <v>349</v>
      </c>
      <c r="G68" s="9"/>
      <c r="H68" s="9" t="s">
        <v>347</v>
      </c>
      <c r="I68" s="33" t="s">
        <v>349</v>
      </c>
      <c r="J68" s="22">
        <v>2</v>
      </c>
      <c r="K68" s="9">
        <f t="shared" si="3"/>
        <v>10</v>
      </c>
      <c r="L68" s="9">
        <f t="shared" si="4"/>
        <v>100</v>
      </c>
      <c r="M68" s="9">
        <f t="shared" si="5"/>
        <v>200</v>
      </c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</row>
    <row r="69" ht="16.5" spans="1:24">
      <c r="A69" s="1">
        <v>67</v>
      </c>
      <c r="B69" s="7"/>
      <c r="C69" s="32" t="s">
        <v>350</v>
      </c>
      <c r="D69" s="32" t="s">
        <v>351</v>
      </c>
      <c r="E69" s="32" t="s">
        <v>352</v>
      </c>
      <c r="F69" s="32" t="s">
        <v>352</v>
      </c>
      <c r="G69" s="9"/>
      <c r="H69" s="9"/>
      <c r="I69" s="33" t="s">
        <v>352</v>
      </c>
      <c r="J69" s="22">
        <v>1</v>
      </c>
      <c r="K69" s="9">
        <f t="shared" si="3"/>
        <v>5</v>
      </c>
      <c r="L69" s="9">
        <f t="shared" si="4"/>
        <v>50</v>
      </c>
      <c r="M69" s="9">
        <f t="shared" si="5"/>
        <v>100</v>
      </c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</row>
    <row r="70" ht="16.5" spans="1:24">
      <c r="A70" s="1">
        <v>68</v>
      </c>
      <c r="B70" s="7"/>
      <c r="C70" s="32" t="s">
        <v>353</v>
      </c>
      <c r="D70" s="32" t="s">
        <v>354</v>
      </c>
      <c r="E70" s="32" t="s">
        <v>355</v>
      </c>
      <c r="F70" s="32" t="s">
        <v>355</v>
      </c>
      <c r="G70" s="9"/>
      <c r="H70" s="9"/>
      <c r="I70" s="33" t="s">
        <v>355</v>
      </c>
      <c r="J70" s="22">
        <v>6</v>
      </c>
      <c r="K70" s="9">
        <f t="shared" si="3"/>
        <v>30</v>
      </c>
      <c r="L70" s="9">
        <f t="shared" si="4"/>
        <v>300</v>
      </c>
      <c r="M70" s="9">
        <f t="shared" si="5"/>
        <v>600</v>
      </c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</row>
    <row r="71" ht="16.5" spans="1:24">
      <c r="A71" s="6">
        <v>69</v>
      </c>
      <c r="B71" s="7"/>
      <c r="C71" s="32" t="s">
        <v>356</v>
      </c>
      <c r="D71" s="32" t="s">
        <v>357</v>
      </c>
      <c r="E71" s="32" t="s">
        <v>358</v>
      </c>
      <c r="F71" s="32" t="s">
        <v>359</v>
      </c>
      <c r="G71" s="9"/>
      <c r="H71" s="9"/>
      <c r="I71" s="33" t="s">
        <v>358</v>
      </c>
      <c r="J71" s="22">
        <v>1</v>
      </c>
      <c r="K71" s="9">
        <f t="shared" si="3"/>
        <v>5</v>
      </c>
      <c r="L71" s="9">
        <f t="shared" si="4"/>
        <v>50</v>
      </c>
      <c r="M71" s="9">
        <f t="shared" si="5"/>
        <v>100</v>
      </c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</row>
    <row r="72" ht="16.5" spans="1:24">
      <c r="A72" s="1">
        <v>70</v>
      </c>
      <c r="B72" s="7"/>
      <c r="C72" s="32" t="s">
        <v>360</v>
      </c>
      <c r="D72" s="32" t="s">
        <v>361</v>
      </c>
      <c r="E72" s="32" t="s">
        <v>362</v>
      </c>
      <c r="F72" s="32" t="s">
        <v>362</v>
      </c>
      <c r="G72" s="9"/>
      <c r="H72" s="9"/>
      <c r="I72" s="33" t="s">
        <v>362</v>
      </c>
      <c r="J72" s="22">
        <v>10</v>
      </c>
      <c r="K72" s="9">
        <f t="shared" si="3"/>
        <v>50</v>
      </c>
      <c r="L72" s="9">
        <f t="shared" si="4"/>
        <v>500</v>
      </c>
      <c r="M72" s="9">
        <f t="shared" si="5"/>
        <v>1000</v>
      </c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</row>
  </sheetData>
  <mergeCells count="7">
    <mergeCell ref="A1:X1"/>
    <mergeCell ref="B3:B18"/>
    <mergeCell ref="B21:B25"/>
    <mergeCell ref="B26:B27"/>
    <mergeCell ref="B30:B50"/>
    <mergeCell ref="B51:B60"/>
    <mergeCell ref="B61:B72"/>
  </mergeCells>
  <hyperlinks>
    <hyperlink ref="O3" r:id="rId1" display="LCSC"/>
    <hyperlink ref="O4" r:id="rId2" display="LCSC"/>
    <hyperlink ref="O5" r:id="rId3" display="LCSC"/>
    <hyperlink ref="O6" r:id="rId4" display="LCSC"/>
    <hyperlink ref="O7" r:id="rId5" display="LCSC"/>
    <hyperlink ref="O8" r:id="rId6" display="LCSC"/>
    <hyperlink ref="O11" r:id="rId7" display="LCSC"/>
    <hyperlink ref="O12" r:id="rId8" display="LCSC"/>
    <hyperlink ref="O14" r:id="rId9" display="LCSC"/>
    <hyperlink ref="O15" r:id="rId10" display="LCSC"/>
    <hyperlink ref="O16" r:id="rId11" display="LCSC"/>
    <hyperlink ref="O17" r:id="rId12" display="LCSC"/>
    <hyperlink ref="O18" r:id="rId13" display="LCSC"/>
    <hyperlink ref="O20" r:id="rId14" display="LCSC"/>
    <hyperlink ref="O22" r:id="rId15" display="LCSC"/>
    <hyperlink ref="O23" r:id="rId16" display="LCSC"/>
    <hyperlink ref="O24" r:id="rId17" display="LCSC"/>
    <hyperlink ref="O26" r:id="rId18" display="LCSC"/>
    <hyperlink ref="O27" r:id="rId19" display="LCSC"/>
    <hyperlink ref="O28" r:id="rId20" display="LCSC"/>
    <hyperlink ref="O30" r:id="rId21" display="LCSC"/>
    <hyperlink ref="O32" r:id="rId22" display="LCSC"/>
    <hyperlink ref="O33" r:id="rId23" display="LCSC"/>
    <hyperlink ref="O34" r:id="rId24" display="LCSC"/>
    <hyperlink ref="O35" r:id="rId25" display="LCSC"/>
    <hyperlink ref="O37" r:id="rId26" display="LCSC"/>
    <hyperlink ref="O39" r:id="rId27" display="LCSC"/>
    <hyperlink ref="O40" r:id="rId28" display="LCSC"/>
    <hyperlink ref="O41" r:id="rId29" display="LCSC"/>
    <hyperlink ref="O42" r:id="rId30" display="LCSC"/>
    <hyperlink ref="O45" r:id="rId31" display="LCSC"/>
  </hyperlinks>
  <printOptions horizontalCentered="1" verticalCentered="1"/>
  <pageMargins left="0.305555555555556" right="0.305555555555556" top="0.305555555555556" bottom="0.305555555555556" header="0" footer="0"/>
  <pageSetup paperSize="1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LCSC_BOM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texon</cp:lastModifiedBy>
  <dcterms:created xsi:type="dcterms:W3CDTF">2022-03-03T11:26:00Z</dcterms:created>
  <dcterms:modified xsi:type="dcterms:W3CDTF">2022-03-03T14:13:33Z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BB334BAE93B649F58C7B32949FC6DC5A</vt:lpwstr>
  </property>
  <property fmtid="{D5CDD505-2E9C-101B-9397-08002B2CF9AE}" pid="3" name="KSOProductBuildVer">
    <vt:lpwstr>1033-11.2.0.10463</vt:lpwstr>
  </property>
</Properties>
</file>