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7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<sst xmlns="http://schemas.openxmlformats.org/spreadsheetml/2006/main" count="94" uniqueCount="73">
  <si>
    <t>Bill of Material (BOM) for Grant</t>
  </si>
  <si>
    <t>S. No.</t>
  </si>
  <si>
    <t>Components</t>
  </si>
  <si>
    <t>Description</t>
  </si>
  <si>
    <t>Designator</t>
  </si>
  <si>
    <t>Footprint (Package)</t>
  </si>
  <si>
    <t>Manufacturer Part Number</t>
  </si>
  <si>
    <t>Manufacturer</t>
  </si>
  <si>
    <t>Alternate</t>
  </si>
  <si>
    <t>Value</t>
  </si>
  <si>
    <t>Quantity (Per Board)</t>
  </si>
  <si>
    <t>Quantity 5</t>
  </si>
  <si>
    <t>Link</t>
  </si>
  <si>
    <t>Unit Cost(5)</t>
  </si>
  <si>
    <t>Total Cost(5)</t>
  </si>
  <si>
    <t>Remarks</t>
  </si>
  <si>
    <t>Capacitor</t>
  </si>
  <si>
    <t>CAP CER 0.1UF 16V X7R 0402</t>
  </si>
  <si>
    <t>C1, C2, C3, C4, C35</t>
  </si>
  <si>
    <t>Cap 0402</t>
  </si>
  <si>
    <t>CC0402KRX7R7BB104</t>
  </si>
  <si>
    <t>Yageo</t>
  </si>
  <si>
    <t>-------</t>
  </si>
  <si>
    <t>0.1uF</t>
  </si>
  <si>
    <t>Digikey</t>
  </si>
  <si>
    <t>CAP CER 1UF 25V X5R 0402</t>
  </si>
  <si>
    <t>C28, C32</t>
  </si>
  <si>
    <t>GRM155R61E105KA12D</t>
  </si>
  <si>
    <t>Murata</t>
  </si>
  <si>
    <t>1uF</t>
  </si>
  <si>
    <t>CAP CER 2.2UF 16V X5R 0402</t>
  </si>
  <si>
    <t>C33</t>
  </si>
  <si>
    <t>EMK105ABJ225KV-F</t>
  </si>
  <si>
    <t>Taiyo Yuden</t>
  </si>
  <si>
    <t>2.2uF</t>
  </si>
  <si>
    <t>CAP CER 4.7UF 25V X5R 0603</t>
  </si>
  <si>
    <t>C34</t>
  </si>
  <si>
    <t>Cap 0603</t>
  </si>
  <si>
    <t>CL10A475KA8NQNC</t>
  </si>
  <si>
    <t>Samsung</t>
  </si>
  <si>
    <t>4.7uF</t>
  </si>
  <si>
    <t>Switch</t>
  </si>
  <si>
    <t>No NO 50mA 12mm 100mΩ 200000 260gf 12V -30℃~+85℃ 12mm 5mm Black Round Button Brick nogging SPST SMD Tactile Switches ROHS</t>
  </si>
  <si>
    <t>SW1, SW2, SW3, SW4</t>
  </si>
  <si>
    <t>Custom</t>
  </si>
  <si>
    <t>TS-1103S-C-C</t>
  </si>
  <si>
    <t>XKB</t>
  </si>
  <si>
    <t>Resistor</t>
  </si>
  <si>
    <t>4.7K ±5% 1/16W ±200ppm/°C 0402 Chip Resistor - Surface Mount RoHS</t>
  </si>
  <si>
    <t>R21, R22, R27</t>
  </si>
  <si>
    <t>Res0402</t>
  </si>
  <si>
    <t>CR0402JF0472G</t>
  </si>
  <si>
    <t>LIZ Elec</t>
  </si>
  <si>
    <t>RC0402FR-074K7L</t>
  </si>
  <si>
    <t>4.7K</t>
  </si>
  <si>
    <t>±1% 1/10W Thick Film Resistors 75V ±100ppm/℃ -55℃~+155℃ 910kΩ 0603 Chip Resistor - Surface Mount ROHS</t>
  </si>
  <si>
    <t>R23</t>
  </si>
  <si>
    <t>Res0603</t>
  </si>
  <si>
    <t>0603WAF9103T5E</t>
  </si>
  <si>
    <t>UNI-ROYAL</t>
  </si>
  <si>
    <t>RC0603JR-07910KL</t>
  </si>
  <si>
    <t>910K</t>
  </si>
  <si>
    <t>Header</t>
  </si>
  <si>
    <t>CONN HEADER VERT 10POS 2.54MM</t>
  </si>
  <si>
    <t>P1</t>
  </si>
  <si>
    <t>M20-9991045</t>
  </si>
  <si>
    <t>Harwin</t>
  </si>
  <si>
    <t>FPC Connector 0.5mm pitch 24pin 30pin TOP&amp;bottom conduction Zif Smt Lcd/epaper Fpc Ffc Connector</t>
  </si>
  <si>
    <t>J1</t>
  </si>
  <si>
    <t>8.02A0.024200</t>
  </si>
  <si>
    <t>Custom Supplier</t>
  </si>
  <si>
    <t xml:space="preserve">Total Component Cost </t>
  </si>
  <si>
    <t>Single Board Cost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</si>
</sst>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177" formatCode="_ * #,##0.00_ ;_ * \-#,##0.00_ ;_ * &quot;-&quot;??_ ;_ @_ "/>
    <numFmt numFmtId="178" formatCode="&quot;$&quot;#,##0.0000_);[Red]\(&quot;$&quot;#,##0.00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32">
    <font>
      <sz val="11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</font>
    <font>
      <strike/>
      <sz val="10"/>
      <color rgb="FFFF0000"/>
      <name val="Calibri"/>
      <charset val="134"/>
      <scheme val="minor"/>
    </font>
    <font>
      <b/>
      <sz val="14"/>
      <name val="Calibri"/>
      <charset val="134"/>
      <scheme val="minor"/>
    </font>
    <font>
      <u/>
      <sz val="10"/>
      <color rgb="FF800080"/>
      <name val="Calibri"/>
      <charset val="0"/>
      <scheme val="minor"/>
    </font>
    <font>
      <sz val="10"/>
      <color theme="1"/>
      <name val="Calibri"/>
      <charset val="134"/>
    </font>
    <font>
      <u/>
      <sz val="10"/>
      <color rgb="FF0000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0.5"/>
      <color theme="1"/>
      <name val="Arial"/>
      <charset val="134"/>
    </font>
    <font>
      <u/>
      <sz val="10"/>
      <color rgb="FF800080"/>
      <name val="Calibri"/>
      <charset val="134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6" fillId="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32" applyNumberFormat="0" applyAlignment="0" applyProtection="0">
      <alignment vertical="center"/>
    </xf>
    <xf numFmtId="0" fontId="22" fillId="0" borderId="33" applyNumberFormat="0" applyFill="0" applyAlignment="0" applyProtection="0">
      <alignment vertical="center"/>
    </xf>
    <xf numFmtId="0" fontId="0" fillId="6" borderId="31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33" applyNumberFormat="0" applyFill="0" applyAlignment="0" applyProtection="0">
      <alignment vertical="center"/>
    </xf>
    <xf numFmtId="0" fontId="15" fillId="0" borderId="3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6" fillId="19" borderId="29" applyNumberFormat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8" fillId="4" borderId="34" applyNumberFormat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4" fillId="4" borderId="29" applyNumberFormat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7" xfId="0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0" borderId="11" xfId="0" applyFont="1" applyFill="1" applyBorder="1" applyAlignment="1">
      <alignment horizontal="left" vertical="center"/>
    </xf>
    <xf numFmtId="0" fontId="4" fillId="0" borderId="12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4" fillId="0" borderId="14" xfId="0" applyFont="1" applyFill="1" applyBorder="1" applyAlignment="1">
      <alignment horizontal="left" vertical="center"/>
    </xf>
    <xf numFmtId="0" fontId="4" fillId="0" borderId="15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18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4" fillId="0" borderId="20" xfId="0" applyFont="1" applyFill="1" applyBorder="1" applyAlignment="1">
      <alignment horizontal="left" vertical="center"/>
    </xf>
    <xf numFmtId="0" fontId="4" fillId="0" borderId="21" xfId="0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8" fillId="0" borderId="8" xfId="7" applyFont="1" applyBorder="1" applyAlignment="1">
      <alignment horizontal="center" vertical="center"/>
    </xf>
    <xf numFmtId="178" fontId="9" fillId="0" borderId="8" xfId="0" applyNumberFormat="1" applyFont="1" applyBorder="1" applyAlignment="1">
      <alignment horizontal="center" vertical="center"/>
    </xf>
    <xf numFmtId="178" fontId="4" fillId="0" borderId="8" xfId="0" applyNumberFormat="1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0" fillId="0" borderId="12" xfId="7" applyFont="1" applyBorder="1" applyAlignment="1">
      <alignment horizontal="center" vertical="center"/>
    </xf>
    <xf numFmtId="178" fontId="9" fillId="0" borderId="12" xfId="0" applyNumberFormat="1" applyFont="1" applyBorder="1" applyAlignment="1">
      <alignment horizontal="center" vertical="center"/>
    </xf>
    <xf numFmtId="178" fontId="4" fillId="0" borderId="12" xfId="0" applyNumberFormat="1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0" fillId="0" borderId="15" xfId="7" applyFont="1" applyBorder="1" applyAlignment="1">
      <alignment horizontal="center" vertical="center"/>
    </xf>
    <xf numFmtId="178" fontId="9" fillId="0" borderId="15" xfId="0" applyNumberFormat="1" applyFont="1" applyBorder="1" applyAlignment="1">
      <alignment horizontal="center" vertical="center"/>
    </xf>
    <xf numFmtId="178" fontId="4" fillId="0" borderId="15" xfId="0" applyNumberFormat="1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11" fillId="0" borderId="18" xfId="7" applyBorder="1" applyAlignment="1">
      <alignment horizontal="center" vertical="center"/>
    </xf>
    <xf numFmtId="178" fontId="12" fillId="0" borderId="0" xfId="0" applyNumberFormat="1" applyFont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0" fillId="0" borderId="21" xfId="7" applyFont="1" applyBorder="1" applyAlignment="1">
      <alignment horizontal="center" vertical="center"/>
    </xf>
    <xf numFmtId="178" fontId="9" fillId="0" borderId="21" xfId="0" applyNumberFormat="1" applyFont="1" applyBorder="1" applyAlignment="1">
      <alignment horizontal="center" vertical="center"/>
    </xf>
    <xf numFmtId="178" fontId="4" fillId="0" borderId="21" xfId="0" applyNumberFormat="1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13" fillId="3" borderId="15" xfId="7" applyFont="1" applyFill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4" fillId="0" borderId="7" xfId="0" applyFont="1" applyFill="1" applyBorder="1" applyAlignment="1" quotePrefix="1">
      <alignment horizontal="left" vertical="center"/>
    </xf>
    <xf numFmtId="0" fontId="4" fillId="0" borderId="8" xfId="0" applyFont="1" applyFill="1" applyBorder="1" applyAlignment="1" quotePrefix="1">
      <alignment horizontal="center" vertical="center"/>
    </xf>
    <xf numFmtId="0" fontId="4" fillId="0" borderId="9" xfId="0" applyFont="1" applyFill="1" applyBorder="1" applyAlignment="1" quotePrefix="1">
      <alignment horizontal="center" vertical="center"/>
    </xf>
    <xf numFmtId="0" fontId="5" fillId="0" borderId="9" xfId="0" applyFont="1" applyFill="1" applyBorder="1" applyAlignment="1" quotePrefix="1">
      <alignment horizontal="center" vertical="center"/>
    </xf>
    <xf numFmtId="0" fontId="4" fillId="0" borderId="11" xfId="0" applyFont="1" applyFill="1" applyBorder="1" applyAlignment="1" quotePrefix="1">
      <alignment horizontal="left" vertical="center"/>
    </xf>
    <xf numFmtId="0" fontId="4" fillId="0" borderId="12" xfId="0" applyFont="1" applyFill="1" applyBorder="1" applyAlignment="1" quotePrefix="1">
      <alignment horizontal="center" vertical="center"/>
    </xf>
    <xf numFmtId="0" fontId="5" fillId="0" borderId="12" xfId="0" applyFont="1" applyFill="1" applyBorder="1" applyAlignment="1" quotePrefix="1">
      <alignment horizontal="center" vertical="center"/>
    </xf>
    <xf numFmtId="0" fontId="4" fillId="0" borderId="14" xfId="0" applyFont="1" applyFill="1" applyBorder="1" applyAlignment="1" quotePrefix="1">
      <alignment horizontal="left" vertical="center"/>
    </xf>
    <xf numFmtId="0" fontId="4" fillId="0" borderId="15" xfId="0" applyFont="1" applyFill="1" applyBorder="1" applyAlignment="1" quotePrefix="1">
      <alignment horizontal="center" vertical="center"/>
    </xf>
    <xf numFmtId="0" fontId="4" fillId="0" borderId="16" xfId="0" applyFont="1" applyFill="1" applyBorder="1" applyAlignment="1" quotePrefix="1">
      <alignment horizontal="center" vertical="center"/>
    </xf>
    <xf numFmtId="0" fontId="5" fillId="0" borderId="16" xfId="0" applyFont="1" applyFill="1" applyBorder="1" applyAlignment="1" quotePrefix="1">
      <alignment horizontal="center" vertical="center"/>
    </xf>
    <xf numFmtId="0" fontId="4" fillId="0" borderId="17" xfId="0" applyFont="1" applyFill="1" applyBorder="1" applyAlignment="1" quotePrefix="1">
      <alignment horizontal="left" vertical="center"/>
    </xf>
    <xf numFmtId="0" fontId="4" fillId="0" borderId="18" xfId="0" applyFont="1" applyFill="1" applyBorder="1" applyAlignment="1" quotePrefix="1">
      <alignment horizontal="center" vertical="center"/>
    </xf>
    <xf numFmtId="0" fontId="5" fillId="0" borderId="18" xfId="0" applyFont="1" applyFill="1" applyBorder="1" applyAlignment="1" quotePrefix="1">
      <alignment horizontal="center" vertical="center"/>
    </xf>
    <xf numFmtId="0" fontId="6" fillId="0" borderId="8" xfId="0" applyFont="1" applyFill="1" applyBorder="1" applyAlignment="1" quotePrefix="1">
      <alignment horizontal="center" vertical="center"/>
    </xf>
    <xf numFmtId="0" fontId="6" fillId="0" borderId="15" xfId="0" applyFont="1" applyFill="1" applyBorder="1" applyAlignment="1" quotePrefix="1">
      <alignment horizontal="center" vertical="center"/>
    </xf>
    <xf numFmtId="0" fontId="4" fillId="0" borderId="20" xfId="0" applyFont="1" applyFill="1" applyBorder="1" applyAlignment="1" quotePrefix="1">
      <alignment horizontal="left" vertical="center"/>
    </xf>
    <xf numFmtId="0" fontId="4" fillId="0" borderId="21" xfId="0" applyFont="1" applyFill="1" applyBorder="1" applyAlignment="1" quotePrefix="1">
      <alignment horizontal="center" vertical="center"/>
    </xf>
    <xf numFmtId="0" fontId="5" fillId="0" borderId="21" xfId="0" applyFont="1" applyFill="1" applyBorder="1" applyAlignment="1" quotePrefix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w%C3%BCrth-elektronik/430162043826/9950802" TargetMode="External"/><Relationship Id="rId7" Type="http://schemas.openxmlformats.org/officeDocument/2006/relationships/hyperlink" Target="https://www.digikey.com/en/products/detail/yageo/RC0603JR-07910KL/726839" TargetMode="External"/><Relationship Id="rId6" Type="http://schemas.openxmlformats.org/officeDocument/2006/relationships/hyperlink" Target="https://www.digikey.com/en/products/detail/yageo/RC0402FR-074K7L/2827563" TargetMode="External"/><Relationship Id="rId5" Type="http://schemas.openxmlformats.org/officeDocument/2006/relationships/hyperlink" Target="https://www.digikey.com/en/products/detail/harwin-inc/M20-9991045/3727809?s=N4IgTCBcDaILJgAwFoCc6CMiAsBWEAugL5A" TargetMode="External"/><Relationship Id="rId4" Type="http://schemas.openxmlformats.org/officeDocument/2006/relationships/hyperlink" Target="https://www.digikey.com/en/products/detail/samsung-electro-mechanics/CL10A475KA8NQNC/3887558?s=N4IgTCBcDaIMIBkCMAGAggFgOwFYDSaAHAHICKxcIAugL5A" TargetMode="External"/><Relationship Id="rId3" Type="http://schemas.openxmlformats.org/officeDocument/2006/relationships/hyperlink" Target="https://www.digikey.com/en/products/detail/taiyo-yuden/EMK105ABJ225KV-F/7403764?s=N4IgTCBcDaIKIFkDSBGADAVgIICEBSYYGSAagLQBiIAugL5A" TargetMode="External"/><Relationship Id="rId2" Type="http://schemas.openxmlformats.org/officeDocument/2006/relationships/hyperlink" Target="https://www.digikey.com/en/products/detail/murata-electronics/GRM155R61E105KA12D/4905139?s=N4IgTCBcDaIOICUCyBGArGhA2FBRFADGgNICCKYAIiALoC%2BQA" TargetMode="External"/><Relationship Id="rId1" Type="http://schemas.openxmlformats.org/officeDocument/2006/relationships/hyperlink" Target="https://www.digikey.com/en/products/detail/yageo/CC0402KRX7R7BB104/2103076?s=N4IgTCBcDaIMJwAwBZFgNICUAaB2TuAQoQIwogC6Avk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tabSelected="1" zoomScale="73" zoomScaleNormal="73" topLeftCell="C2" workbookViewId="0">
      <selection activeCell="N3" sqref="N3"/>
    </sheetView>
  </sheetViews>
  <sheetFormatPr defaultColWidth="9.14285714285714" defaultRowHeight="15"/>
  <cols>
    <col min="2" max="2" width="13.1428571428571" customWidth="1"/>
    <col min="3" max="3" width="80.8571428571429" customWidth="1"/>
    <col min="4" max="4" width="21.2857142857143" customWidth="1"/>
    <col min="5" max="5" width="20" customWidth="1"/>
    <col min="6" max="6" width="27.2857142857143" customWidth="1"/>
    <col min="7" max="7" width="14.1428571428571" customWidth="1"/>
    <col min="8" max="8" width="17.2857142857143" customWidth="1"/>
    <col min="9" max="9" width="14.4285714285714" customWidth="1"/>
    <col min="10" max="10" width="18.2857142857143" customWidth="1"/>
    <col min="11" max="11" width="10.8571428571429" customWidth="1"/>
    <col min="12" max="12" width="15" customWidth="1"/>
    <col min="13" max="13" width="12.4285714285714" customWidth="1"/>
    <col min="14" max="14" width="13" customWidth="1"/>
    <col min="15" max="15" width="24" customWidth="1"/>
  </cols>
  <sheetData>
    <row r="1" ht="16.5" spans="1:1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3"/>
    </row>
    <row r="2" ht="15.75" spans="1:1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34" t="s">
        <v>12</v>
      </c>
      <c r="M2" s="5" t="s">
        <v>13</v>
      </c>
      <c r="N2" s="5" t="s">
        <v>14</v>
      </c>
      <c r="O2" s="5" t="s">
        <v>15</v>
      </c>
    </row>
    <row r="3" ht="15.75" spans="1:15">
      <c r="A3" s="6">
        <v>1</v>
      </c>
      <c r="B3" s="7" t="s">
        <v>16</v>
      </c>
      <c r="C3" s="61" t="s">
        <v>17</v>
      </c>
      <c r="D3" s="62" t="s">
        <v>18</v>
      </c>
      <c r="E3" s="62" t="s">
        <v>19</v>
      </c>
      <c r="F3" s="62" t="s">
        <v>20</v>
      </c>
      <c r="G3" s="63" t="s">
        <v>21</v>
      </c>
      <c r="H3" s="64" t="s">
        <v>22</v>
      </c>
      <c r="I3" s="62" t="s">
        <v>23</v>
      </c>
      <c r="J3" s="9">
        <v>5</v>
      </c>
      <c r="K3" s="35">
        <f>J3*5</f>
        <v>25</v>
      </c>
      <c r="L3" s="36" t="s">
        <v>24</v>
      </c>
      <c r="M3" s="37">
        <v>0.029</v>
      </c>
      <c r="N3" s="38">
        <f>M3*K3</f>
        <v>0.725</v>
      </c>
      <c r="O3" s="39"/>
    </row>
    <row r="4" ht="15.75" spans="1:15">
      <c r="A4" s="6">
        <v>2</v>
      </c>
      <c r="B4" s="12"/>
      <c r="C4" s="65" t="s">
        <v>25</v>
      </c>
      <c r="D4" s="66" t="s">
        <v>26</v>
      </c>
      <c r="E4" s="66" t="s">
        <v>19</v>
      </c>
      <c r="F4" s="66" t="s">
        <v>27</v>
      </c>
      <c r="G4" s="66" t="s">
        <v>28</v>
      </c>
      <c r="H4" s="67" t="s">
        <v>22</v>
      </c>
      <c r="I4" s="66" t="s">
        <v>29</v>
      </c>
      <c r="J4" s="14">
        <v>2</v>
      </c>
      <c r="K4" s="40">
        <f t="shared" ref="K4:K11" si="0">J4*5</f>
        <v>10</v>
      </c>
      <c r="L4" s="41" t="s">
        <v>24</v>
      </c>
      <c r="M4" s="42">
        <v>0.08</v>
      </c>
      <c r="N4" s="43">
        <f t="shared" ref="N4:N11" si="1">M4*K4</f>
        <v>0.8</v>
      </c>
      <c r="O4" s="44"/>
    </row>
    <row r="5" ht="15.75" spans="1:15">
      <c r="A5" s="6">
        <v>3</v>
      </c>
      <c r="B5" s="12"/>
      <c r="C5" s="65" t="s">
        <v>30</v>
      </c>
      <c r="D5" s="66" t="s">
        <v>31</v>
      </c>
      <c r="E5" s="66" t="s">
        <v>19</v>
      </c>
      <c r="F5" s="66" t="s">
        <v>32</v>
      </c>
      <c r="G5" s="66" t="s">
        <v>33</v>
      </c>
      <c r="H5" s="67" t="s">
        <v>22</v>
      </c>
      <c r="I5" s="66" t="s">
        <v>34</v>
      </c>
      <c r="J5" s="14">
        <v>1</v>
      </c>
      <c r="K5" s="40">
        <f t="shared" si="0"/>
        <v>5</v>
      </c>
      <c r="L5" s="41" t="s">
        <v>24</v>
      </c>
      <c r="M5" s="42">
        <v>0.156</v>
      </c>
      <c r="N5" s="43">
        <f t="shared" si="1"/>
        <v>0.78</v>
      </c>
      <c r="O5" s="44"/>
    </row>
    <row r="6" ht="15.75" spans="1:15">
      <c r="A6" s="6">
        <v>4</v>
      </c>
      <c r="B6" s="16"/>
      <c r="C6" s="68" t="s">
        <v>35</v>
      </c>
      <c r="D6" s="69" t="s">
        <v>36</v>
      </c>
      <c r="E6" s="69" t="s">
        <v>37</v>
      </c>
      <c r="F6" s="69" t="s">
        <v>38</v>
      </c>
      <c r="G6" s="70" t="s">
        <v>39</v>
      </c>
      <c r="H6" s="71" t="s">
        <v>22</v>
      </c>
      <c r="I6" s="69" t="s">
        <v>40</v>
      </c>
      <c r="J6" s="18">
        <v>1</v>
      </c>
      <c r="K6" s="45">
        <f t="shared" si="0"/>
        <v>5</v>
      </c>
      <c r="L6" s="46" t="s">
        <v>24</v>
      </c>
      <c r="M6" s="47">
        <v>0.38</v>
      </c>
      <c r="N6" s="48">
        <f t="shared" si="1"/>
        <v>1.9</v>
      </c>
      <c r="O6" s="49"/>
    </row>
    <row r="7" spans="1:15">
      <c r="A7" s="6">
        <v>5</v>
      </c>
      <c r="B7" s="21" t="s">
        <v>41</v>
      </c>
      <c r="C7" s="72" t="s">
        <v>42</v>
      </c>
      <c r="D7" s="73" t="s">
        <v>43</v>
      </c>
      <c r="E7" s="23" t="s">
        <v>44</v>
      </c>
      <c r="F7" s="73" t="s">
        <v>45</v>
      </c>
      <c r="G7" s="73" t="s">
        <v>46</v>
      </c>
      <c r="H7" s="74" t="s">
        <v>22</v>
      </c>
      <c r="I7" s="74" t="s">
        <v>22</v>
      </c>
      <c r="J7" s="23">
        <v>4</v>
      </c>
      <c r="K7" s="50">
        <f t="shared" si="0"/>
        <v>20</v>
      </c>
      <c r="L7" s="51" t="s">
        <v>24</v>
      </c>
      <c r="M7" s="52">
        <v>0.486</v>
      </c>
      <c r="N7" s="48">
        <f t="shared" si="1"/>
        <v>9.72</v>
      </c>
      <c r="O7" s="53"/>
    </row>
    <row r="8" s="1" customFormat="1" ht="15.75" spans="1:15">
      <c r="A8" s="6">
        <v>6</v>
      </c>
      <c r="B8" s="7" t="s">
        <v>47</v>
      </c>
      <c r="C8" s="61" t="s">
        <v>48</v>
      </c>
      <c r="D8" s="62" t="s">
        <v>49</v>
      </c>
      <c r="E8" s="62" t="s">
        <v>50</v>
      </c>
      <c r="F8" s="75" t="s">
        <v>51</v>
      </c>
      <c r="G8" s="62" t="s">
        <v>52</v>
      </c>
      <c r="H8" s="9" t="s">
        <v>53</v>
      </c>
      <c r="I8" s="62" t="s">
        <v>54</v>
      </c>
      <c r="J8" s="9">
        <v>3</v>
      </c>
      <c r="K8" s="35">
        <f t="shared" si="0"/>
        <v>15</v>
      </c>
      <c r="L8" s="36" t="s">
        <v>24</v>
      </c>
      <c r="M8" s="37">
        <v>0.016</v>
      </c>
      <c r="N8" s="38">
        <f t="shared" si="1"/>
        <v>0.24</v>
      </c>
      <c r="O8" s="39"/>
    </row>
    <row r="9" ht="15.75" spans="1:15">
      <c r="A9" s="6">
        <v>7</v>
      </c>
      <c r="B9" s="16"/>
      <c r="C9" s="68" t="s">
        <v>55</v>
      </c>
      <c r="D9" s="69" t="s">
        <v>56</v>
      </c>
      <c r="E9" s="69" t="s">
        <v>57</v>
      </c>
      <c r="F9" s="76" t="s">
        <v>58</v>
      </c>
      <c r="G9" s="69" t="s">
        <v>59</v>
      </c>
      <c r="H9" s="18" t="s">
        <v>60</v>
      </c>
      <c r="I9" s="69" t="s">
        <v>61</v>
      </c>
      <c r="J9" s="18">
        <v>1</v>
      </c>
      <c r="K9" s="45">
        <f t="shared" si="0"/>
        <v>5</v>
      </c>
      <c r="L9" s="46" t="s">
        <v>24</v>
      </c>
      <c r="M9" s="47">
        <v>0.1</v>
      </c>
      <c r="N9" s="48">
        <f t="shared" si="1"/>
        <v>0.5</v>
      </c>
      <c r="O9" s="49"/>
    </row>
    <row r="10" ht="15.75" spans="1:15">
      <c r="A10" s="6">
        <v>8</v>
      </c>
      <c r="B10" s="27" t="s">
        <v>62</v>
      </c>
      <c r="C10" s="77" t="s">
        <v>63</v>
      </c>
      <c r="D10" s="78" t="s">
        <v>64</v>
      </c>
      <c r="E10" s="29" t="s">
        <v>44</v>
      </c>
      <c r="F10" s="78" t="s">
        <v>65</v>
      </c>
      <c r="G10" s="78" t="s">
        <v>66</v>
      </c>
      <c r="H10" s="79" t="s">
        <v>22</v>
      </c>
      <c r="I10" s="79" t="s">
        <v>22</v>
      </c>
      <c r="J10" s="29">
        <v>1</v>
      </c>
      <c r="K10" s="54">
        <f t="shared" si="0"/>
        <v>5</v>
      </c>
      <c r="L10" s="55" t="s">
        <v>24</v>
      </c>
      <c r="M10" s="56">
        <v>0.46</v>
      </c>
      <c r="N10" s="57">
        <f t="shared" si="1"/>
        <v>2.3</v>
      </c>
      <c r="O10" s="58"/>
    </row>
    <row r="11" ht="15.75" spans="1:15">
      <c r="A11" s="6">
        <v>9</v>
      </c>
      <c r="B11" s="16"/>
      <c r="C11" s="68" t="s">
        <v>67</v>
      </c>
      <c r="D11" s="69" t="s">
        <v>68</v>
      </c>
      <c r="E11" s="18" t="s">
        <v>44</v>
      </c>
      <c r="F11" s="69" t="s">
        <v>69</v>
      </c>
      <c r="G11" s="71" t="s">
        <v>22</v>
      </c>
      <c r="H11" s="71" t="s">
        <v>22</v>
      </c>
      <c r="I11" s="71" t="s">
        <v>22</v>
      </c>
      <c r="J11" s="18">
        <v>1</v>
      </c>
      <c r="K11" s="45">
        <f t="shared" si="0"/>
        <v>5</v>
      </c>
      <c r="L11" s="59" t="s">
        <v>70</v>
      </c>
      <c r="M11" s="47">
        <v>1.15</v>
      </c>
      <c r="N11" s="48">
        <f t="shared" si="1"/>
        <v>5.75</v>
      </c>
      <c r="O11" s="49"/>
    </row>
    <row r="12" ht="19.5" spans="7:14">
      <c r="G12" s="31" t="s">
        <v>71</v>
      </c>
      <c r="H12" s="31"/>
      <c r="I12" s="31"/>
      <c r="J12" s="31"/>
      <c r="K12" s="31"/>
      <c r="L12" s="31"/>
      <c r="N12" s="60">
        <f>SUM(N3:N11)</f>
        <v>22.715</v>
      </c>
    </row>
    <row r="13" ht="18.75" spans="7:14">
      <c r="G13" s="32" t="s">
        <v>72</v>
      </c>
      <c r="H13" s="32"/>
      <c r="I13" s="32"/>
      <c r="J13" s="32"/>
      <c r="K13" s="32"/>
      <c r="L13" s="32"/>
      <c r="N13" s="60">
        <f>N12/5</f>
        <v>4.543</v>
      </c>
    </row>
  </sheetData>
  <mergeCells count="6">
    <mergeCell ref="A1:O1"/>
    <mergeCell ref="G12:L12"/>
    <mergeCell ref="G13:L13"/>
    <mergeCell ref="B3:B6"/>
    <mergeCell ref="B8:B9"/>
    <mergeCell ref="B10:B11"/>
  </mergeCells>
  <conditionalFormatting sqref="N1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{8075f51b-85fe-4b82-99a4-f8b9281869d4}</x14:id>
        </ext>
      </extLst>
    </cfRule>
  </conditionalFormatting>
  <conditionalFormatting sqref="N3:N11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{15d60ac5-9b89-492c-8909-06c2b35856dc}</x14:id>
        </ext>
      </extLst>
    </cfRule>
  </conditionalFormatting>
  <conditionalFormatting sqref="J3:K1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L3" r:id="rId1" display="Digikey"/>
    <hyperlink ref="L4" r:id="rId2" display="Digikey"/>
    <hyperlink ref="L5" r:id="rId3" display="Digikey"/>
    <hyperlink ref="L6" r:id="rId4" display="Digikey"/>
    <hyperlink ref="L10" r:id="rId5" display="Digikey"/>
    <hyperlink ref="L8" r:id="rId6" display="Digikey"/>
    <hyperlink ref="L9" r:id="rId7" display="Digikey"/>
    <hyperlink ref="L7" r:id="rId8" display="Digikey"/>
  </hyperlinks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75f51b-85fe-4b82-99a4-f8b9281869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</xm:sqref>
        </x14:conditionalFormatting>
        <x14:conditionalFormatting xmlns:xm="http://schemas.microsoft.com/office/excel/2006/main">
          <x14:cfRule type="dataBar" id="{15d60ac5-9b89-492c-8909-06c2b35856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N3:N11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texon</dc:creator>
  <cp:lastModifiedBy>texon</cp:lastModifiedBy>
  <dcterms:created xsi:type="dcterms:W3CDTF">2022-03-16T14:26:00Z</dcterms:created>
  <dcterms:modified xsi:type="dcterms:W3CDTF">2022-03-17T09:03:19Z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5BAC6B7B63754BDEA88C017011FF92D9</vt:lpwstr>
  </property>
  <property fmtid="{D5CDD505-2E9C-101B-9397-08002B2CF9AE}" pid="3" name="KSOProductBuildVer">
    <vt:lpwstr>1033-11.2.0.11029</vt:lpwstr>
  </property>
</Properties>
</file>