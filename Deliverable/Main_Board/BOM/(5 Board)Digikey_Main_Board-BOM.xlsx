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931"/>
  <workbookPr/>
  <mc:AlternateContent xmlns:mc="http://schemas.openxmlformats.org/markup-compatibility/2006">
    <mc:Choice Requires="x15">
      <x15ac:absPath xmlns:x15ac="http://schemas.microsoft.com/office/spreadsheetml/2010/11/ac" url="D:\eSpark\GrantKros-CoopMonitor\Deliverable\Main_Board\BOM\"/>
    </mc:Choice>
  </mc:AlternateContent>
  <xr:revisionPtr revIDLastSave="0" documentId="13_ncr:1_{98DCEE96-A114-4258-9E60-ECE5F26B103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33" i="1" l="1"/>
  <c r="N57" i="1"/>
  <c r="N60" i="1"/>
  <c r="K61" i="1"/>
  <c r="N61" i="1" s="1"/>
  <c r="K60" i="1"/>
  <c r="K59" i="1"/>
  <c r="N59" i="1" s="1"/>
  <c r="K58" i="1"/>
  <c r="N58" i="1" s="1"/>
  <c r="K57" i="1"/>
  <c r="K56" i="1"/>
  <c r="K55" i="1"/>
  <c r="K54" i="1"/>
  <c r="K53" i="1"/>
  <c r="K52" i="1"/>
  <c r="N52" i="1" s="1"/>
  <c r="K51" i="1"/>
  <c r="N51" i="1" s="1"/>
  <c r="K50" i="1"/>
  <c r="N50" i="1" s="1"/>
  <c r="K49" i="1"/>
  <c r="N49" i="1" s="1"/>
  <c r="K48" i="1"/>
  <c r="N48" i="1" s="1"/>
  <c r="K47" i="1"/>
  <c r="N47" i="1" s="1"/>
  <c r="K46" i="1"/>
  <c r="N46" i="1" s="1"/>
  <c r="K45" i="1"/>
  <c r="N45" i="1" s="1"/>
  <c r="K44" i="1"/>
  <c r="N44" i="1" s="1"/>
  <c r="K43" i="1"/>
  <c r="N43" i="1" s="1"/>
  <c r="K42" i="1"/>
  <c r="N42" i="1" s="1"/>
  <c r="K41" i="1"/>
  <c r="N41" i="1" s="1"/>
  <c r="K40" i="1"/>
  <c r="N40" i="1" s="1"/>
  <c r="K39" i="1"/>
  <c r="N39" i="1" s="1"/>
  <c r="K38" i="1"/>
  <c r="N38" i="1" s="1"/>
  <c r="K37" i="1"/>
  <c r="N37" i="1" s="1"/>
  <c r="K36" i="1"/>
  <c r="N36" i="1" s="1"/>
  <c r="K35" i="1"/>
  <c r="N35" i="1" s="1"/>
  <c r="K34" i="1"/>
  <c r="N34" i="1" s="1"/>
  <c r="K33" i="1"/>
  <c r="N62" i="1" s="1"/>
  <c r="K32" i="1"/>
  <c r="N32" i="1" s="1"/>
  <c r="K31" i="1"/>
  <c r="N31" i="1" s="1"/>
  <c r="K30" i="1"/>
  <c r="N30" i="1" s="1"/>
  <c r="K29" i="1"/>
  <c r="N29" i="1" s="1"/>
  <c r="K28" i="1"/>
  <c r="N28" i="1" s="1"/>
  <c r="K27" i="1"/>
  <c r="N27" i="1" s="1"/>
  <c r="K26" i="1"/>
  <c r="N26" i="1" s="1"/>
  <c r="K25" i="1"/>
  <c r="N25" i="1" s="1"/>
  <c r="K24" i="1"/>
  <c r="N24" i="1" s="1"/>
  <c r="K23" i="1"/>
  <c r="N23" i="1" s="1"/>
  <c r="K22" i="1"/>
  <c r="N22" i="1" s="1"/>
  <c r="K21" i="1"/>
  <c r="N21" i="1" s="1"/>
  <c r="K20" i="1"/>
  <c r="N20" i="1" s="1"/>
  <c r="K19" i="1"/>
  <c r="N19" i="1" s="1"/>
  <c r="K18" i="1"/>
  <c r="N18" i="1" s="1"/>
  <c r="K17" i="1"/>
  <c r="N17" i="1" s="1"/>
  <c r="K16" i="1"/>
  <c r="N16" i="1" s="1"/>
  <c r="K15" i="1"/>
  <c r="N15" i="1" s="1"/>
  <c r="K14" i="1"/>
  <c r="N14" i="1" s="1"/>
  <c r="K13" i="1"/>
  <c r="N13" i="1" s="1"/>
  <c r="K12" i="1"/>
  <c r="N12" i="1" s="1"/>
  <c r="K11" i="1"/>
  <c r="N11" i="1" s="1"/>
  <c r="K10" i="1"/>
  <c r="N10" i="1" s="1"/>
  <c r="K9" i="1"/>
  <c r="N9" i="1" s="1"/>
  <c r="K8" i="1"/>
  <c r="N8" i="1" s="1"/>
  <c r="K7" i="1"/>
  <c r="N7" i="1" s="1"/>
  <c r="K6" i="1"/>
  <c r="N6" i="1" s="1"/>
  <c r="K5" i="1"/>
  <c r="N5" i="1" s="1"/>
  <c r="K4" i="1"/>
  <c r="N4" i="1" s="1"/>
  <c r="K3" i="1"/>
  <c r="N3" i="1" s="1"/>
  <c r="N63" i="1" l="1"/>
</calcChain>
</file>

<file path=xl/sharedStrings.xml><?xml version="1.0" encoding="utf-8"?>
<sst xmlns="http://schemas.openxmlformats.org/spreadsheetml/2006/main" count="507" uniqueCount="311">
  <si>
    <t>Bill of Material (BOM) for Grant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</si>
  <si>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</si>
  <si>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</si>
  <si>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</si>
  <si>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</si>
  <si>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</si>
  <si>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</si>
  <si>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</si>
  <si>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</si>
  <si>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</si>
  <si>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</si>
  <si>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Quantity 5</t>
  </si>
  <si>
    <t>Link</t>
  </si>
  <si>
    <t>Unit Cost(5)</t>
  </si>
  <si>
    <t>Total Cost(5)</t>
  </si>
  <si>
    <t>Remarks</t>
  </si>
  <si>
    <t>Capacitor</t>
  </si>
  <si>
    <t>CAP ALUM 6.8UF 20% 25V SMD</t>
  </si>
  <si>
    <t>C1</t>
  </si>
  <si>
    <t>Custom</t>
  </si>
  <si>
    <t>EEEHB1E6R8R</t>
  </si>
  <si>
    <t>Panasonic</t>
  </si>
  <si>
    <t>--------</t>
  </si>
  <si>
    <t>6.8uF</t>
  </si>
  <si>
    <t>Digikey</t>
  </si>
  <si>
    <t>CAP ALUM 10uF 25V SMD</t>
  </si>
  <si>
    <t>C2</t>
  </si>
  <si>
    <t>RVT1E100M0405</t>
  </si>
  <si>
    <t>ROQANG</t>
  </si>
  <si>
    <t>25SEV10M4X5.5</t>
  </si>
  <si>
    <t>10uF</t>
  </si>
  <si>
    <t xml:space="preserve">CAP CER 0.1UF 50V X7R 0402
</t>
  </si>
  <si>
    <t>Cap 0402</t>
  </si>
  <si>
    <t xml:space="preserve">C1005X7R1H104K050BB
</t>
  </si>
  <si>
    <t xml:space="preserve">
TDK Corporation</t>
  </si>
  <si>
    <t>0.1uF</t>
  </si>
  <si>
    <t>CAP CER 22UF 25V X5R 0805</t>
  </si>
  <si>
    <t>C7, CE1</t>
  </si>
  <si>
    <t>Cap0805</t>
  </si>
  <si>
    <t>GRM21BR61E226ME44L</t>
  </si>
  <si>
    <t>Murata</t>
  </si>
  <si>
    <t>22uF</t>
  </si>
  <si>
    <t>1uF 10V ±20% 0805 Tantalum Capacitors ROHS</t>
  </si>
  <si>
    <t>C8, C19</t>
  </si>
  <si>
    <t>TCP1A105M8R</t>
  </si>
  <si>
    <t>ROHM</t>
  </si>
  <si>
    <t>1UF</t>
  </si>
  <si>
    <t>CAP CER 25PF 50V C0G/NPO 0603</t>
  </si>
  <si>
    <t>C9</t>
  </si>
  <si>
    <t>Cap 0603</t>
  </si>
  <si>
    <t>CC0603JRNPO9BN250</t>
  </si>
  <si>
    <t>YAGEO</t>
  </si>
  <si>
    <t>25pF</t>
  </si>
  <si>
    <t>CAP CER 20PF 25V C0H 0201</t>
  </si>
  <si>
    <t>C16, C17, CX1, CX2</t>
  </si>
  <si>
    <t>Cap 0201</t>
  </si>
  <si>
    <t>GJM0336C1E200JB01D</t>
  </si>
  <si>
    <t>CC0201JRNPO8BN200</t>
  </si>
  <si>
    <t>20pF</t>
  </si>
  <si>
    <t>CAP CER 0.022UF 100V X7R 0603</t>
  </si>
  <si>
    <t>C20</t>
  </si>
  <si>
    <t>CGA3E2X7R2A223K080AA</t>
  </si>
  <si>
    <t>TDK</t>
  </si>
  <si>
    <t>22nF</t>
  </si>
  <si>
    <t>CAP TANT 4.7UF 10% 35V 1411</t>
  </si>
  <si>
    <t>C23</t>
  </si>
  <si>
    <t xml:space="preserve">B Case </t>
  </si>
  <si>
    <t>TAJB475K035RNJ</t>
  </si>
  <si>
    <t>Kyocera AVX</t>
  </si>
  <si>
    <t>4.7UF</t>
  </si>
  <si>
    <t>Mouser</t>
  </si>
  <si>
    <t>CAP ALUM 100UF 20% 25V SMD</t>
  </si>
  <si>
    <t>C26</t>
  </si>
  <si>
    <t>UWX1E101MCL1GB</t>
  </si>
  <si>
    <t>Nichicon</t>
  </si>
  <si>
    <t>100uF</t>
  </si>
  <si>
    <t>Arrow</t>
  </si>
  <si>
    <t>CAP CER 4.7UF 25V X5R 0603</t>
  </si>
  <si>
    <t>C31</t>
  </si>
  <si>
    <t>CL10A475KA8NQNC</t>
  </si>
  <si>
    <t>Samsung</t>
  </si>
  <si>
    <t>4.7uF</t>
  </si>
  <si>
    <t>CAP CER 2.2UF 16V X5R 0402</t>
  </si>
  <si>
    <t>CR1</t>
  </si>
  <si>
    <t>EMK105ABJ225KV-F</t>
  </si>
  <si>
    <t>Taiyo Yuden</t>
  </si>
  <si>
    <t>2.2uF</t>
  </si>
  <si>
    <t>CAP TANT 0.33 uF 20 V ±20% 0402</t>
  </si>
  <si>
    <t>C50</t>
  </si>
  <si>
    <t>TCTU1D334M8R</t>
  </si>
  <si>
    <t>Rohm</t>
  </si>
  <si>
    <t>330nF</t>
  </si>
  <si>
    <t>CAP CER 220PF 50V C0G/NPO 0402</t>
  </si>
  <si>
    <t>CF1</t>
  </si>
  <si>
    <t>CC0402JRNPO9BN221</t>
  </si>
  <si>
    <t>Yageo</t>
  </si>
  <si>
    <t>-------</t>
  </si>
  <si>
    <t>220pF</t>
  </si>
  <si>
    <t>Diode</t>
  </si>
  <si>
    <t>DIODE SCHOTTKY 30V 2A PMDU</t>
  </si>
  <si>
    <t>D2</t>
  </si>
  <si>
    <t>SOD123F</t>
  </si>
  <si>
    <t>RB060M-30TR</t>
  </si>
  <si>
    <t>Rohm Semiconductor</t>
  </si>
  <si>
    <t>Quest</t>
  </si>
  <si>
    <t>DIODE SCHOTTKY 30V 1A SOD123W</t>
  </si>
  <si>
    <t>D1, D3</t>
  </si>
  <si>
    <t>SOD123W</t>
  </si>
  <si>
    <t>PMEG3010ER,115</t>
  </si>
  <si>
    <t>Nexperia</t>
  </si>
  <si>
    <t>------</t>
  </si>
  <si>
    <t>---</t>
  </si>
  <si>
    <t>LED</t>
  </si>
  <si>
    <t>Red 625nm 0402 Light Emitting Diodes (LED) RoHS</t>
  </si>
  <si>
    <t>LED 0402</t>
  </si>
  <si>
    <t>TJ-S1005SW4TGLC2R-A5</t>
  </si>
  <si>
    <t>TOGIALED</t>
  </si>
  <si>
    <t xml:space="preserve">VLMS1500-GS08
</t>
  </si>
  <si>
    <t>Mosfet</t>
  </si>
  <si>
    <t xml:space="preserve">MOSFET P-CH 20V 1.6A SUPERSOT3
</t>
  </si>
  <si>
    <t>Q1</t>
  </si>
  <si>
    <t>SOT23-3</t>
  </si>
  <si>
    <t>FDN338P</t>
  </si>
  <si>
    <t>UMW</t>
  </si>
  <si>
    <t>MOSFET N-CH 100V .1A SOT23-3</t>
  </si>
  <si>
    <t>Q3</t>
  </si>
  <si>
    <t>ZVN3310FTA</t>
  </si>
  <si>
    <t>Diodes Zetex</t>
  </si>
  <si>
    <t>SOT-23 MOSFETs ROHS</t>
  </si>
  <si>
    <t>Q4</t>
  </si>
  <si>
    <t>FDN335N</t>
  </si>
  <si>
    <t>Switch</t>
  </si>
  <si>
    <t>SPDT 5A 120V On-On DIP Toggle Switches RoHS</t>
  </si>
  <si>
    <t>S1</t>
  </si>
  <si>
    <t>SS-12D11L5</t>
  </si>
  <si>
    <t>XKB Enterprise</t>
  </si>
  <si>
    <t>SWITCH TACTILE SPST-NO 0.05A 12V</t>
  </si>
  <si>
    <t>SW1</t>
  </si>
  <si>
    <t>B3U-1000P</t>
  </si>
  <si>
    <t>Omron</t>
  </si>
  <si>
    <t>Inductor</t>
  </si>
  <si>
    <t>10uH ±20% 1.6A 230mΩ SMD,4.75x4.2x2mm Inductors (SMD) RoHS</t>
  </si>
  <si>
    <t>LZ1</t>
  </si>
  <si>
    <t>MS0420-100M</t>
  </si>
  <si>
    <t>COILMX</t>
  </si>
  <si>
    <t>BMRA00040420100MA1</t>
  </si>
  <si>
    <t>Crystal</t>
  </si>
  <si>
    <t>CRYSTAL 32.7680KHZ 12.5PF SMD</t>
  </si>
  <si>
    <t>X1, X2</t>
  </si>
  <si>
    <t>NX3215SA-32.768K-STD-MUA-8</t>
  </si>
  <si>
    <t>NDK</t>
  </si>
  <si>
    <t>Resistor</t>
  </si>
  <si>
    <t xml:space="preserve">RES 470 OHM 5% 1/16W 0402
</t>
  </si>
  <si>
    <t>R1</t>
  </si>
  <si>
    <t>Res0402</t>
  </si>
  <si>
    <t>RTT02471JTH</t>
  </si>
  <si>
    <t>RALEC</t>
  </si>
  <si>
    <t>RMCF0402JT470R</t>
  </si>
  <si>
    <t>470R</t>
  </si>
  <si>
    <t>RES SMD 1.5K OHM 1% 1/20W 0201</t>
  </si>
  <si>
    <t>R2</t>
  </si>
  <si>
    <t>Res-0201</t>
  </si>
  <si>
    <t>RMCF0201FT1K50</t>
  </si>
  <si>
    <t>Stackpole Electronics</t>
  </si>
  <si>
    <t>1.5K</t>
  </si>
  <si>
    <t>RES SMD 20K OHM 5% 1/16W 0402</t>
  </si>
  <si>
    <t>RC0402JR-0720KL</t>
  </si>
  <si>
    <t>20K</t>
  </si>
  <si>
    <t>RES 10K OHM 5% 1/10W 0402</t>
  </si>
  <si>
    <t>R6, R8, R11, R12, R15, R16, R17, R33, R34</t>
  </si>
  <si>
    <t>RK73B1ETTP103J</t>
  </si>
  <si>
    <t>KOA Speer</t>
  </si>
  <si>
    <t>ESR01MZPJ103</t>
  </si>
  <si>
    <t>10K</t>
  </si>
  <si>
    <t>RES SMD 133K OHM 1% 1/16W 0402</t>
  </si>
  <si>
    <t>R13</t>
  </si>
  <si>
    <t>RC0402FR-07133KL</t>
  </si>
  <si>
    <t>133K</t>
  </si>
  <si>
    <t>RES 49.9K OHM 1% 1/10W 0402</t>
  </si>
  <si>
    <t>R14</t>
  </si>
  <si>
    <t>RK73H1ETTP4992F</t>
  </si>
  <si>
    <t>RMCF0402FT49K9</t>
  </si>
  <si>
    <t>49.9K</t>
  </si>
  <si>
    <t>RES SMD 0 OHM JUMPER 1/16W 0402</t>
  </si>
  <si>
    <t>R18, R19, RF22, RF23</t>
  </si>
  <si>
    <t>RC0402JR-070RL</t>
  </si>
  <si>
    <t xml:space="preserve">RC0402FR-070RL
</t>
  </si>
  <si>
    <t>0R</t>
  </si>
  <si>
    <t>RES SMD 47K OHM 1% 1/16W 0402</t>
  </si>
  <si>
    <t>R24, R25, RZ1</t>
  </si>
  <si>
    <t>RC0402FR-0747KL</t>
  </si>
  <si>
    <t>47K</t>
  </si>
  <si>
    <t>RES SMD 1K OHM 5% 1/10W 0402</t>
  </si>
  <si>
    <t>ERJ-2GEJ102X</t>
  </si>
  <si>
    <t xml:space="preserve">RC0402JR-071KL
</t>
  </si>
  <si>
    <t>1K</t>
  </si>
  <si>
    <t>RES SMD 100K OHM 1% 1/5W 0402</t>
  </si>
  <si>
    <t>R28, R30, R31, R32</t>
  </si>
  <si>
    <t>ERJPA2F1003X</t>
  </si>
  <si>
    <t>RC0402JR-07100KL</t>
  </si>
  <si>
    <t>100K</t>
  </si>
  <si>
    <t>RES SMD 4.7K OHM 1% 1/10W 0603</t>
  </si>
  <si>
    <t>R29</t>
  </si>
  <si>
    <t>Res0603</t>
  </si>
  <si>
    <t>RC0603FR-074K7L</t>
  </si>
  <si>
    <t>4.7K</t>
  </si>
  <si>
    <t>RES SMD 118K OHM 1% 1/16W 0402</t>
  </si>
  <si>
    <t>RF5</t>
  </si>
  <si>
    <t>AC0402FR-07118KL</t>
  </si>
  <si>
    <t>118K</t>
  </si>
  <si>
    <t>RES SMD 13.3K OHM 1% 1/16W 0402</t>
  </si>
  <si>
    <t>RF6</t>
  </si>
  <si>
    <t>RC0402FR-0713K3L</t>
  </si>
  <si>
    <t>13.3K</t>
  </si>
  <si>
    <t>IC</t>
  </si>
  <si>
    <t>IC REG LDO 3.3V 1A SOT223</t>
  </si>
  <si>
    <t>U1</t>
  </si>
  <si>
    <t>SOT223</t>
  </si>
  <si>
    <t>SPX3940AM3-L-3-3/TR</t>
  </si>
  <si>
    <t>Exar</t>
  </si>
  <si>
    <t xml:space="preserve">8-SOIC
</t>
  </si>
  <si>
    <t>IC MCU 32BIT 256KB FLASH 48TQFP</t>
  </si>
  <si>
    <t>U5</t>
  </si>
  <si>
    <t>48TQFP</t>
  </si>
  <si>
    <t>SAMD21G18A-AUT</t>
  </si>
  <si>
    <t>Microchip</t>
  </si>
  <si>
    <t>IC AMP CLASS AB MONO 1W 8SOIC</t>
  </si>
  <si>
    <t>U6</t>
  </si>
  <si>
    <t>SOIC-8</t>
  </si>
  <si>
    <t>LM4890MX/NOPB</t>
  </si>
  <si>
    <t>Texas Instruments</t>
  </si>
  <si>
    <t>IC MOTOR DRIVER DC 5.5V 16HTSSOP</t>
  </si>
  <si>
    <t>U7</t>
  </si>
  <si>
    <t>16HTSSOP</t>
  </si>
  <si>
    <t>DRV8876PWPR</t>
  </si>
  <si>
    <t>IC RTC CLK/CALENDAR I2C 8-SOIC</t>
  </si>
  <si>
    <t>U8</t>
  </si>
  <si>
    <t>MCP7940N-I/SN</t>
  </si>
  <si>
    <t>IC REG BOOST ADJ 2A SOT23-5</t>
  </si>
  <si>
    <t>UF2</t>
  </si>
  <si>
    <t>SOT23-5</t>
  </si>
  <si>
    <t>LMR62014XMF/NOPB</t>
  </si>
  <si>
    <t>TI National Semiconductor</t>
  </si>
  <si>
    <t xml:space="preserve">LMR62014XMFE/NOPB
</t>
  </si>
  <si>
    <t>2.54mm Straight 1x10P 10 1 Plugin,P=2.54mm Female Headers ROHS</t>
  </si>
  <si>
    <t>J1</t>
  </si>
  <si>
    <t>C35445</t>
  </si>
  <si>
    <t>BOOMELE</t>
  </si>
  <si>
    <t>PPTC051LFBN-RC</t>
  </si>
  <si>
    <t>USB - Micro B Female USB 2 5 SMD USB Connectors RoHS</t>
  </si>
  <si>
    <t>J3</t>
  </si>
  <si>
    <t>C10418</t>
  </si>
  <si>
    <t>Jing Extension of the Electronic</t>
  </si>
  <si>
    <t xml:space="preserve">MCR-B-S-RA-SMT-CS5A-NF-T/R
</t>
  </si>
  <si>
    <t>CONN HEADER SMD 10POS 1.27MM</t>
  </si>
  <si>
    <t>J4</t>
  </si>
  <si>
    <t>20021121-00010C4LF</t>
  </si>
  <si>
    <t>Amphenol FCI</t>
  </si>
  <si>
    <t>2 PIN JST Connector</t>
  </si>
  <si>
    <t>P17</t>
  </si>
  <si>
    <t>2 Pin JST Connector</t>
  </si>
  <si>
    <t xml:space="preserve">B2B-XH-A(LF)(SN)
</t>
  </si>
  <si>
    <t>SMD Battery Holders, Clips &amp; Contacts RoHS</t>
  </si>
  <si>
    <t>J6</t>
  </si>
  <si>
    <t>CR1220-2</t>
  </si>
  <si>
    <t>Q&amp;J</t>
  </si>
  <si>
    <t>CH25</t>
  </si>
  <si>
    <t>P=5.0mm Screw terminal RoHS</t>
  </si>
  <si>
    <t>J7</t>
  </si>
  <si>
    <t>WJ301V-5.0-3P</t>
  </si>
  <si>
    <t>Ningbo Kangnex Elec</t>
  </si>
  <si>
    <t>J8, J#1</t>
  </si>
  <si>
    <t>WJ301V-5.0-2P</t>
  </si>
  <si>
    <t>Wire Connecting Pad</t>
  </si>
  <si>
    <t>P1</t>
  </si>
  <si>
    <t>SMD PAD</t>
  </si>
  <si>
    <t>Test Point ON</t>
  </si>
  <si>
    <t>P2, P12, P13, P14, P15, P16</t>
  </si>
  <si>
    <t>TEST POINT</t>
  </si>
  <si>
    <t>CBL PLUG-OF-NAILS 10-PIN W/LEGS</t>
  </si>
  <si>
    <t>J5</t>
  </si>
  <si>
    <t>TC2050-IDC</t>
  </si>
  <si>
    <t>Tag-Connect</t>
  </si>
  <si>
    <t>Solder Bridge ON</t>
  </si>
  <si>
    <t>SB2, SB3, SB16, SB17, SB18, SB19, SB20, SB21, SB_ZD1</t>
  </si>
  <si>
    <t>Solder Bridge</t>
  </si>
  <si>
    <t>Peripheral</t>
  </si>
  <si>
    <t>LS-SG555 37MM Dc Gear Motor</t>
  </si>
  <si>
    <t>LS-SG555</t>
  </si>
  <si>
    <t>Ningbo Leison Motor</t>
  </si>
  <si>
    <t>Custom Supplier</t>
  </si>
  <si>
    <t>Alkaline cell</t>
  </si>
  <si>
    <t>AA LR6</t>
  </si>
  <si>
    <t>Energizer</t>
  </si>
  <si>
    <t>128x64 green pixels OLED display</t>
  </si>
  <si>
    <t>GDON242-2864KSWUG01-C24</t>
  </si>
  <si>
    <t>GooDisplay</t>
  </si>
  <si>
    <t>Capacitive proximity switch</t>
  </si>
  <si>
    <t> CR18-8DN</t>
  </si>
  <si>
    <t>Normally open reed switch</t>
  </si>
  <si>
    <t>Adafruit</t>
  </si>
  <si>
    <t xml:space="preserve">Total Component Cost </t>
  </si>
  <si>
    <t>Single Board Cost</t>
  </si>
  <si>
    <t>Motor Shipping Cost</t>
  </si>
  <si>
    <t xml:space="preserve">Connector </t>
  </si>
  <si>
    <t>C11, C12, C13, C14, C15, C18, C21, C22, C24, C25, C27, C29, C30, CF2</t>
  </si>
  <si>
    <t>LED1</t>
  </si>
  <si>
    <t>R3, R4, R9, R10, R20</t>
  </si>
  <si>
    <t>R26</t>
  </si>
  <si>
    <t> LJC18A3-B-Z/BX</t>
  </si>
  <si>
    <t>IP65 rating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</si>
</sst>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&quot;$&quot;#,##0.00"/>
    <numFmt numFmtId="165" formatCode="&quot;$&quot;#,##0.0000"/>
    <numFmt numFmtId="166" formatCode="&quot;$&quot;#,##0.0000_);[Red]\(&quot;$&quot;#,##0.0000\)"/>
    <numFmt numFmtId="167" formatCode="&quot;$&quot;#,##0.000_);[Red]\(&quot;$&quot;#,##0.000\)"/>
  </numFmts>
  <fonts count="23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1"/>
      <name val="Calibri"/>
      <charset val="134"/>
    </font>
    <font>
      <b/>
      <sz val="14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0"/>
      <color rgb="FF80008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10"/>
      <color rgb="FF7030A0"/>
      <name val="Calibri"/>
      <family val="2"/>
      <scheme val="minor"/>
    </font>
    <font>
      <sz val="10"/>
      <color rgb="FF151515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444444"/>
      <name val="Calibri"/>
      <family val="2"/>
      <scheme val="minor"/>
    </font>
    <font>
      <sz val="10"/>
      <color rgb="FF222222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ill="1" applyAlignment="1"/>
    <xf numFmtId="0" fontId="0" fillId="0" borderId="0" xfId="0" applyFill="1" applyAlignment="1">
      <alignment horizontal="left"/>
    </xf>
    <xf numFmtId="164" fontId="6" fillId="0" borderId="0" xfId="0" applyNumberFormat="1" applyFont="1" applyFill="1" applyBorder="1" applyAlignment="1">
      <alignment horizontal="center" vertical="center"/>
    </xf>
    <xf numFmtId="164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9" fillId="0" borderId="5" xfId="0" quotePrefix="1" applyFont="1" applyFill="1" applyBorder="1" applyAlignment="1">
      <alignment vertical="center"/>
    </xf>
    <xf numFmtId="0" fontId="9" fillId="0" borderId="6" xfId="0" quotePrefix="1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center" vertical="center"/>
    </xf>
    <xf numFmtId="0" fontId="10" fillId="0" borderId="6" xfId="1" applyFont="1" applyBorder="1" applyAlignment="1">
      <alignment horizontal="center"/>
    </xf>
    <xf numFmtId="164" fontId="11" fillId="0" borderId="6" xfId="0" applyNumberFormat="1" applyFont="1" applyFill="1" applyBorder="1" applyAlignment="1">
      <alignment horizontal="center" vertical="center"/>
    </xf>
    <xf numFmtId="165" fontId="9" fillId="0" borderId="22" xfId="0" applyNumberFormat="1" applyFont="1" applyFill="1" applyBorder="1" applyAlignment="1">
      <alignment horizontal="center" vertical="center"/>
    </xf>
    <xf numFmtId="0" fontId="12" fillId="0" borderId="23" xfId="0" applyFont="1" applyFill="1" applyBorder="1" applyAlignment="1">
      <alignment horizontal="center" vertical="center"/>
    </xf>
    <xf numFmtId="0" fontId="9" fillId="0" borderId="8" xfId="0" quotePrefix="1" applyFont="1" applyFill="1" applyBorder="1" applyAlignment="1">
      <alignment vertical="center"/>
    </xf>
    <xf numFmtId="0" fontId="9" fillId="0" borderId="9" xfId="0" quotePrefix="1" applyFont="1" applyFill="1" applyBorder="1" applyAlignment="1">
      <alignment horizontal="center" vertical="center"/>
    </xf>
    <xf numFmtId="0" fontId="13" fillId="0" borderId="9" xfId="0" quotePrefix="1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/>
    </xf>
    <xf numFmtId="0" fontId="10" fillId="0" borderId="9" xfId="1" applyFont="1" applyBorder="1" applyAlignment="1">
      <alignment horizontal="center"/>
    </xf>
    <xf numFmtId="164" fontId="11" fillId="0" borderId="9" xfId="0" applyNumberFormat="1" applyFont="1" applyFill="1" applyBorder="1" applyAlignment="1">
      <alignment horizontal="center" vertical="center"/>
    </xf>
    <xf numFmtId="165" fontId="9" fillId="0" borderId="9" xfId="0" applyNumberFormat="1" applyFont="1" applyFill="1" applyBorder="1" applyAlignment="1">
      <alignment horizontal="center" vertical="center"/>
    </xf>
    <xf numFmtId="0" fontId="14" fillId="0" borderId="24" xfId="0" applyFont="1" applyFill="1" applyBorder="1" applyAlignment="1">
      <alignment horizontal="center" vertical="center" wrapText="1"/>
    </xf>
    <xf numFmtId="0" fontId="10" fillId="0" borderId="9" xfId="1" applyFont="1" applyBorder="1" applyAlignment="1">
      <alignment horizontal="center" vertical="center"/>
    </xf>
    <xf numFmtId="0" fontId="10" fillId="0" borderId="9" xfId="1" quotePrefix="1" applyFont="1" applyBorder="1" applyAlignment="1">
      <alignment horizontal="center"/>
    </xf>
    <xf numFmtId="0" fontId="9" fillId="0" borderId="24" xfId="0" applyFont="1" applyFill="1" applyBorder="1" applyAlignment="1">
      <alignment horizontal="center" vertical="center"/>
    </xf>
    <xf numFmtId="0" fontId="14" fillId="0" borderId="24" xfId="0" applyFont="1" applyFill="1" applyBorder="1" applyAlignment="1">
      <alignment horizontal="center" vertical="center"/>
    </xf>
    <xf numFmtId="0" fontId="9" fillId="0" borderId="24" xfId="0" applyFont="1" applyFill="1" applyBorder="1" applyAlignment="1"/>
    <xf numFmtId="164" fontId="9" fillId="0" borderId="9" xfId="0" applyNumberFormat="1" applyFont="1" applyFill="1" applyBorder="1" applyAlignment="1">
      <alignment horizontal="center" vertical="center"/>
    </xf>
    <xf numFmtId="0" fontId="9" fillId="0" borderId="11" xfId="0" applyFont="1" applyFill="1" applyBorder="1" applyAlignment="1">
      <alignment horizontal="center" vertical="center"/>
    </xf>
    <xf numFmtId="0" fontId="15" fillId="0" borderId="9" xfId="1" applyFont="1" applyBorder="1" applyAlignment="1">
      <alignment horizontal="center"/>
    </xf>
    <xf numFmtId="0" fontId="9" fillId="0" borderId="25" xfId="0" applyFont="1" applyFill="1" applyBorder="1" applyAlignment="1">
      <alignment horizontal="center" vertical="center"/>
    </xf>
    <xf numFmtId="165" fontId="9" fillId="0" borderId="11" xfId="0" applyNumberFormat="1" applyFont="1" applyFill="1" applyBorder="1" applyAlignment="1">
      <alignment horizontal="center" vertical="center"/>
    </xf>
    <xf numFmtId="0" fontId="9" fillId="0" borderId="10" xfId="0" quotePrefix="1" applyFont="1" applyFill="1" applyBorder="1" applyAlignment="1">
      <alignment vertical="center"/>
    </xf>
    <xf numFmtId="0" fontId="9" fillId="0" borderId="11" xfId="0" quotePrefix="1" applyFont="1" applyFill="1" applyBorder="1" applyAlignment="1">
      <alignment horizontal="center" vertical="center"/>
    </xf>
    <xf numFmtId="0" fontId="9" fillId="0" borderId="16" xfId="0" applyFont="1" applyFill="1" applyBorder="1" applyAlignment="1">
      <alignment horizontal="center" vertical="center"/>
    </xf>
    <xf numFmtId="0" fontId="15" fillId="0" borderId="26" xfId="1" applyFont="1" applyBorder="1" applyAlignment="1">
      <alignment horizontal="center"/>
    </xf>
    <xf numFmtId="165" fontId="9" fillId="0" borderId="27" xfId="0" applyNumberFormat="1" applyFont="1" applyFill="1" applyBorder="1" applyAlignment="1">
      <alignment horizontal="center" vertical="center"/>
    </xf>
    <xf numFmtId="0" fontId="9" fillId="0" borderId="28" xfId="0" applyFont="1" applyFill="1" applyBorder="1" applyAlignment="1"/>
    <xf numFmtId="0" fontId="11" fillId="0" borderId="5" xfId="0" applyFont="1" applyFill="1" applyBorder="1" applyAlignment="1">
      <alignment horizontal="left" vertical="center"/>
    </xf>
    <xf numFmtId="0" fontId="11" fillId="0" borderId="6" xfId="0" applyFont="1" applyFill="1" applyBorder="1" applyAlignment="1">
      <alignment horizontal="center" vertical="center"/>
    </xf>
    <xf numFmtId="166" fontId="16" fillId="0" borderId="6" xfId="0" applyNumberFormat="1" applyFont="1" applyFill="1" applyBorder="1" applyAlignment="1">
      <alignment horizontal="center" vertical="center"/>
    </xf>
    <xf numFmtId="165" fontId="9" fillId="0" borderId="6" xfId="0" applyNumberFormat="1" applyFont="1" applyFill="1" applyBorder="1" applyAlignment="1">
      <alignment horizontal="center" vertical="center"/>
    </xf>
    <xf numFmtId="0" fontId="9" fillId="0" borderId="23" xfId="0" applyFont="1" applyFill="1" applyBorder="1" applyAlignment="1"/>
    <xf numFmtId="0" fontId="9" fillId="0" borderId="13" xfId="0" quotePrefix="1" applyFont="1" applyFill="1" applyBorder="1" applyAlignment="1">
      <alignment vertical="center"/>
    </xf>
    <xf numFmtId="0" fontId="9" fillId="0" borderId="14" xfId="0" quotePrefix="1" applyFont="1" applyFill="1" applyBorder="1" applyAlignment="1">
      <alignment horizontal="center" vertical="center"/>
    </xf>
    <xf numFmtId="0" fontId="9" fillId="0" borderId="14" xfId="0" applyFont="1" applyFill="1" applyBorder="1" applyAlignment="1">
      <alignment horizontal="center" vertical="center"/>
    </xf>
    <xf numFmtId="0" fontId="10" fillId="0" borderId="14" xfId="1" applyFont="1" applyBorder="1" applyAlignment="1">
      <alignment horizontal="center"/>
    </xf>
    <xf numFmtId="165" fontId="9" fillId="0" borderId="14" xfId="0" applyNumberFormat="1" applyFont="1" applyFill="1" applyBorder="1" applyAlignment="1">
      <alignment horizontal="center" vertical="center"/>
    </xf>
    <xf numFmtId="0" fontId="9" fillId="0" borderId="29" xfId="0" applyFont="1" applyFill="1" applyBorder="1" applyAlignment="1"/>
    <xf numFmtId="0" fontId="9" fillId="0" borderId="15" xfId="0" quotePrefix="1" applyFont="1" applyFill="1" applyBorder="1" applyAlignment="1">
      <alignment vertical="center"/>
    </xf>
    <xf numFmtId="0" fontId="9" fillId="0" borderId="16" xfId="0" quotePrefix="1" applyFont="1" applyFill="1" applyBorder="1" applyAlignment="1">
      <alignment horizontal="center" vertical="center"/>
    </xf>
    <xf numFmtId="0" fontId="13" fillId="0" borderId="16" xfId="0" quotePrefix="1" applyFont="1" applyFill="1" applyBorder="1" applyAlignment="1">
      <alignment horizontal="center" vertical="center"/>
    </xf>
    <xf numFmtId="0" fontId="10" fillId="0" borderId="16" xfId="1" applyFont="1" applyBorder="1" applyAlignment="1">
      <alignment horizontal="center"/>
    </xf>
    <xf numFmtId="165" fontId="9" fillId="0" borderId="16" xfId="0" applyNumberFormat="1" applyFont="1" applyFill="1" applyBorder="1" applyAlignment="1">
      <alignment horizontal="center" vertical="center"/>
    </xf>
    <xf numFmtId="0" fontId="9" fillId="0" borderId="30" xfId="0" applyFont="1" applyFill="1" applyBorder="1" applyAlignment="1"/>
    <xf numFmtId="0" fontId="14" fillId="0" borderId="23" xfId="0" applyFont="1" applyFill="1" applyBorder="1" applyAlignment="1">
      <alignment horizontal="center" vertical="center"/>
    </xf>
    <xf numFmtId="0" fontId="9" fillId="0" borderId="18" xfId="0" quotePrefix="1" applyFont="1" applyFill="1" applyBorder="1" applyAlignment="1">
      <alignment horizontal="center" vertical="center"/>
    </xf>
    <xf numFmtId="0" fontId="9" fillId="0" borderId="9" xfId="0" quotePrefix="1" applyFont="1" applyFill="1" applyBorder="1" applyAlignment="1">
      <alignment horizontal="left" vertical="center"/>
    </xf>
    <xf numFmtId="166" fontId="9" fillId="0" borderId="0" xfId="0" applyNumberFormat="1" applyFont="1" applyFill="1" applyAlignment="1">
      <alignment horizontal="center" vertical="center"/>
    </xf>
    <xf numFmtId="0" fontId="9" fillId="0" borderId="17" xfId="0" quotePrefix="1" applyFont="1" applyFill="1" applyBorder="1" applyAlignment="1">
      <alignment vertical="center"/>
    </xf>
    <xf numFmtId="0" fontId="9" fillId="0" borderId="18" xfId="0" applyFont="1" applyFill="1" applyBorder="1" applyAlignment="1">
      <alignment horizontal="center" vertical="center"/>
    </xf>
    <xf numFmtId="0" fontId="10" fillId="0" borderId="18" xfId="1" applyFont="1" applyBorder="1" applyAlignment="1">
      <alignment horizontal="center"/>
    </xf>
    <xf numFmtId="165" fontId="9" fillId="0" borderId="18" xfId="0" applyNumberFormat="1" applyFont="1" applyFill="1" applyBorder="1" applyAlignment="1">
      <alignment horizontal="center" vertical="center"/>
    </xf>
    <xf numFmtId="0" fontId="10" fillId="0" borderId="11" xfId="1" applyFont="1" applyBorder="1" applyAlignment="1">
      <alignment horizontal="center"/>
    </xf>
    <xf numFmtId="0" fontId="9" fillId="0" borderId="19" xfId="0" quotePrefix="1" applyFont="1" applyFill="1" applyBorder="1" applyAlignment="1">
      <alignment vertical="center"/>
    </xf>
    <xf numFmtId="0" fontId="9" fillId="0" borderId="20" xfId="0" quotePrefix="1" applyFont="1" applyFill="1" applyBorder="1" applyAlignment="1">
      <alignment horizontal="center" vertical="center"/>
    </xf>
    <xf numFmtId="0" fontId="13" fillId="0" borderId="20" xfId="0" quotePrefix="1" applyFont="1" applyFill="1" applyBorder="1" applyAlignment="1">
      <alignment horizontal="center" vertical="center"/>
    </xf>
    <xf numFmtId="0" fontId="9" fillId="0" borderId="20" xfId="0" applyFont="1" applyFill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165" fontId="9" fillId="0" borderId="20" xfId="0" applyNumberFormat="1" applyFont="1" applyFill="1" applyBorder="1" applyAlignment="1">
      <alignment horizontal="center" vertical="center"/>
    </xf>
    <xf numFmtId="0" fontId="14" fillId="0" borderId="31" xfId="0" applyFont="1" applyFill="1" applyBorder="1" applyAlignment="1">
      <alignment horizontal="center" vertical="center"/>
    </xf>
    <xf numFmtId="0" fontId="9" fillId="0" borderId="5" xfId="0" quotePrefix="1" applyFont="1" applyFill="1" applyBorder="1" applyAlignment="1">
      <alignment horizontal="left" vertical="center"/>
    </xf>
    <xf numFmtId="0" fontId="13" fillId="0" borderId="6" xfId="0" quotePrefix="1" applyFont="1" applyFill="1" applyBorder="1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9" fillId="0" borderId="9" xfId="0" applyFont="1" applyFill="1" applyBorder="1" applyAlignment="1">
      <alignment horizontal="center"/>
    </xf>
    <xf numFmtId="0" fontId="13" fillId="0" borderId="14" xfId="0" quotePrefix="1" applyFont="1" applyFill="1" applyBorder="1" applyAlignment="1">
      <alignment horizontal="center" vertical="center"/>
    </xf>
    <xf numFmtId="0" fontId="9" fillId="0" borderId="8" xfId="0" quotePrefix="1" applyFont="1" applyFill="1" applyBorder="1" applyAlignment="1">
      <alignment horizontal="left" vertical="center"/>
    </xf>
    <xf numFmtId="0" fontId="10" fillId="0" borderId="18" xfId="1" applyFont="1" applyBorder="1" applyAlignment="1">
      <alignment horizontal="center" vertical="center"/>
    </xf>
    <xf numFmtId="0" fontId="14" fillId="0" borderId="33" xfId="0" applyFont="1" applyFill="1" applyBorder="1" applyAlignment="1">
      <alignment horizontal="center" vertical="center"/>
    </xf>
    <xf numFmtId="0" fontId="13" fillId="0" borderId="8" xfId="0" quotePrefix="1" applyFont="1" applyFill="1" applyBorder="1" applyAlignment="1">
      <alignment vertical="center"/>
    </xf>
    <xf numFmtId="0" fontId="13" fillId="0" borderId="9" xfId="0" applyFont="1" applyFill="1" applyBorder="1" applyAlignment="1">
      <alignment horizontal="center" vertical="center"/>
    </xf>
    <xf numFmtId="0" fontId="13" fillId="0" borderId="9" xfId="0" applyFont="1" applyFill="1" applyBorder="1" applyAlignment="1"/>
    <xf numFmtId="0" fontId="13" fillId="0" borderId="13" xfId="0" quotePrefix="1" applyFont="1" applyFill="1" applyBorder="1" applyAlignment="1">
      <alignment vertical="center"/>
    </xf>
    <xf numFmtId="0" fontId="13" fillId="0" borderId="14" xfId="0" applyFont="1" applyFill="1" applyBorder="1" applyAlignment="1">
      <alignment horizontal="center" vertical="center"/>
    </xf>
    <xf numFmtId="0" fontId="14" fillId="0" borderId="29" xfId="0" applyFont="1" applyFill="1" applyBorder="1" applyAlignment="1">
      <alignment horizontal="center" vertical="center"/>
    </xf>
    <xf numFmtId="0" fontId="9" fillId="0" borderId="19" xfId="0" quotePrefix="1" applyFont="1" applyFill="1" applyBorder="1" applyAlignment="1">
      <alignment horizontal="left" vertical="center"/>
    </xf>
    <xf numFmtId="0" fontId="15" fillId="3" borderId="20" xfId="1" applyFont="1" applyFill="1" applyBorder="1" applyAlignment="1">
      <alignment horizontal="center" vertical="center"/>
    </xf>
    <xf numFmtId="166" fontId="9" fillId="0" borderId="20" xfId="0" applyNumberFormat="1" applyFont="1" applyFill="1" applyBorder="1" applyAlignment="1">
      <alignment horizontal="center" vertical="center"/>
    </xf>
    <xf numFmtId="0" fontId="17" fillId="0" borderId="31" xfId="0" applyFont="1" applyFill="1" applyBorder="1" applyAlignment="1">
      <alignment horizontal="center" vertical="center"/>
    </xf>
    <xf numFmtId="0" fontId="18" fillId="0" borderId="19" xfId="0" applyFont="1" applyFill="1" applyBorder="1" applyAlignment="1">
      <alignment horizontal="left" vertical="center"/>
    </xf>
    <xf numFmtId="0" fontId="18" fillId="0" borderId="20" xfId="0" applyFont="1" applyFill="1" applyBorder="1" applyAlignment="1">
      <alignment horizontal="center" vertical="center"/>
    </xf>
    <xf numFmtId="8" fontId="19" fillId="0" borderId="20" xfId="0" applyNumberFormat="1" applyFont="1" applyFill="1" applyBorder="1" applyAlignment="1">
      <alignment horizontal="center" vertical="center"/>
    </xf>
    <xf numFmtId="0" fontId="9" fillId="0" borderId="19" xfId="0" applyFont="1" applyFill="1" applyBorder="1" applyAlignment="1">
      <alignment horizontal="left" vertical="center"/>
    </xf>
    <xf numFmtId="0" fontId="20" fillId="0" borderId="20" xfId="0" applyFont="1" applyFill="1" applyBorder="1" applyAlignment="1">
      <alignment horizontal="center" vertical="center"/>
    </xf>
    <xf numFmtId="8" fontId="9" fillId="0" borderId="20" xfId="0" applyNumberFormat="1" applyFont="1" applyFill="1" applyBorder="1" applyAlignment="1">
      <alignment horizontal="center" vertical="center"/>
    </xf>
    <xf numFmtId="0" fontId="21" fillId="0" borderId="19" xfId="0" applyFont="1" applyFill="1" applyBorder="1" applyAlignment="1">
      <alignment horizontal="left" vertical="center"/>
    </xf>
    <xf numFmtId="0" fontId="10" fillId="3" borderId="20" xfId="1" applyFont="1" applyFill="1" applyBorder="1" applyAlignment="1">
      <alignment horizontal="center" vertical="center"/>
    </xf>
    <xf numFmtId="0" fontId="19" fillId="0" borderId="19" xfId="0" applyFont="1" applyFill="1" applyBorder="1" applyAlignment="1">
      <alignment horizontal="left" vertical="center"/>
    </xf>
    <xf numFmtId="0" fontId="11" fillId="3" borderId="20" xfId="0" applyFont="1" applyFill="1" applyBorder="1" applyAlignment="1">
      <alignment horizontal="center" vertical="center"/>
    </xf>
    <xf numFmtId="167" fontId="19" fillId="0" borderId="20" xfId="0" applyNumberFormat="1" applyFont="1" applyFill="1" applyBorder="1" applyAlignment="1">
      <alignment horizontal="center" vertical="center"/>
    </xf>
    <xf numFmtId="0" fontId="9" fillId="0" borderId="9" xfId="0" quotePrefix="1" applyFont="1" applyFill="1" applyBorder="1" applyAlignment="1">
      <alignment horizontal="center" vertical="center" wrapText="1"/>
    </xf>
    <xf numFmtId="0" fontId="15" fillId="0" borderId="6" xfId="1" applyFont="1" applyBorder="1" applyAlignment="1">
      <alignment horizontal="center"/>
    </xf>
    <xf numFmtId="0" fontId="9" fillId="0" borderId="3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5" fillId="3" borderId="3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3" fillId="0" borderId="4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22" fillId="0" borderId="4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11" fillId="0" borderId="18" xfId="0" quotePrefix="1" applyFont="1" applyFill="1" applyBorder="1" applyAlignment="1">
      <alignment horizontal="center" vertical="center"/>
    </xf>
    <xf numFmtId="0" fontId="9" fillId="0" borderId="3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yageo/CC0402JRNPO9BN221/2833581?s=N4IgTCBcDaIMJwAwBZFgFICUByAFA8gJwBC2YYAjCALoC%2BQA" TargetMode="External"/><Relationship Id="rId18" Type="http://schemas.openxmlformats.org/officeDocument/2006/relationships/hyperlink" Target="https://www.digikey.com/en/products/detail/rohm-semiconductor/ESR01MZPJ103/4053677" TargetMode="External"/><Relationship Id="rId26" Type="http://schemas.openxmlformats.org/officeDocument/2006/relationships/hyperlink" Target="https://www.arrow.com/en/products/lm4890mxnopb/texas-instruments?utm_campaign=octopart_2020&amp;utm_currency=USD&amp;utm_keyword=LM4890MX%2FNOPB&amp;utm_medium=aggregator&amp;utm_content=inv_listing&amp;region=nac&amp;utm_source=octopart" TargetMode="External"/><Relationship Id="rId39" Type="http://schemas.openxmlformats.org/officeDocument/2006/relationships/hyperlink" Target="https://www.digikey.com/en/products/detail/microchip-technology/MCP7940N-I-SN/2651354?s=N4IgTCBcDaILIGEAKB2AnAFgAwDkC0AkgPQDKOIAugL5A" TargetMode="External"/><Relationship Id="rId21" Type="http://schemas.openxmlformats.org/officeDocument/2006/relationships/hyperlink" Target="https://www.digikey.com/en/products/detail/yageo/RC0402FR-070RL/2827888" TargetMode="External"/><Relationship Id="rId34" Type="http://schemas.openxmlformats.org/officeDocument/2006/relationships/hyperlink" Target="https://www.digikey.com/en/products/detail/maxlinear-inc/SPX3940AM3-L-3-3-TR/2472424?s=N4IgTCBcDaIMoAUAaBmAnAFgAwEECyKAtADKFEoD0AKgEogC6AvkA" TargetMode="External"/><Relationship Id="rId42" Type="http://schemas.openxmlformats.org/officeDocument/2006/relationships/hyperlink" Target="https://www.digikey.com/en/products/detail/weidm%C3%BCller/1715260000/269760" TargetMode="External"/><Relationship Id="rId47" Type="http://schemas.openxmlformats.org/officeDocument/2006/relationships/hyperlink" Target="https://www.digikey.com/en/products/detail/yageo/RC0603FR-074K7L/727212?s=N4IgTCBcDaIEoGEAMA2JBmAYnAtEg7ACwDS%2BAMiALoC%2BQA" TargetMode="External"/><Relationship Id="rId50" Type="http://schemas.openxmlformats.org/officeDocument/2006/relationships/hyperlink" Target="https://www.digikey.com/en/products/detail/onsemi/FDN335N/965301?s=N4IgTCBcDaIGIBEByBmFBWJIC6BfIA" TargetMode="External"/><Relationship Id="rId7" Type="http://schemas.openxmlformats.org/officeDocument/2006/relationships/hyperlink" Target="https://www.digikey.com/en/products/detail/tdk-corporation/CGA3E2X7R2A223K080AA/2443292?s=N4IgTCBcDaIMIHECCBmAomAGgdgEpiTDBQGkAGADjKSRAF0BfIA" TargetMode="External"/><Relationship Id="rId2" Type="http://schemas.openxmlformats.org/officeDocument/2006/relationships/hyperlink" Target="https://www.digikey.com/en/products/detail/yageo/CC0402KRX7R7BB104/2103076?s=N4IgTCBcDaIMJwAwBZFgNICUAaB2TuAQoQIwogC6AvkA" TargetMode="External"/><Relationship Id="rId16" Type="http://schemas.openxmlformats.org/officeDocument/2006/relationships/hyperlink" Target="https://www.digikey.com/en/products/detail/stackpole-electronics-inc/RMCF0201FT1K50/1761885?s=N4IgTCBcDaIEoFkDCAxADGNBGFAVLA0gKxogC6AvkA" TargetMode="External"/><Relationship Id="rId29" Type="http://schemas.openxmlformats.org/officeDocument/2006/relationships/hyperlink" Target="https://www.digikey.com/en/products/detail/stackpole-electronics-inc/RMCF0402JT470R/1712461" TargetMode="External"/><Relationship Id="rId11" Type="http://schemas.openxmlformats.org/officeDocument/2006/relationships/hyperlink" Target="https://www.digikey.com/en/products/detail/taiyo-yuden/EMK105ABJ225KV-F/7403764?s=N4IgTCBcDaIKIFkDSBGADAVgIICEBSYYGSAagLQBiIAugL5A" TargetMode="External"/><Relationship Id="rId24" Type="http://schemas.openxmlformats.org/officeDocument/2006/relationships/hyperlink" Target="https://www.digikey.com/en/products/detail/yageo/AC0402FR-07118KL/5895039?s=N4IgTCBcDaIIIGEAMAWJYBiAlAtEg7AIyEAcA0gDIgC6AvkA" TargetMode="External"/><Relationship Id="rId32" Type="http://schemas.openxmlformats.org/officeDocument/2006/relationships/hyperlink" Target="https://www.digikey.com/en/products/detail/diodes-incorporated/ZVN3310FTA/92648?s=N4IgTCBcDaIFoDUByBmFBGADAMQCoEEQBdAXyA" TargetMode="External"/><Relationship Id="rId37" Type="http://schemas.openxmlformats.org/officeDocument/2006/relationships/hyperlink" Target="https://www.digikey.com/en/products/detail/ATSAMD21G18A-AUT/ATSAMD21G18A-AUTDKR-ND/4878891?utm_campaign=buynow&amp;utm_medium=aggregator&amp;curr=usd&amp;utm_source=octopart" TargetMode="External"/><Relationship Id="rId40" Type="http://schemas.openxmlformats.org/officeDocument/2006/relationships/hyperlink" Target="https://www.digikey.com/en/products/detail/adam-tech/MCR-B-S-RA-SMT-CS5A-NF-T-R/9832094" TargetMode="External"/><Relationship Id="rId45" Type="http://schemas.openxmlformats.org/officeDocument/2006/relationships/hyperlink" Target="https://www.questcomp.com/part/rb060m-30tr/rohm-co-ltd/332009458/1620554" TargetMode="External"/><Relationship Id="rId5" Type="http://schemas.openxmlformats.org/officeDocument/2006/relationships/hyperlink" Target="https://www.digikey.com/en/products/detail/yageo/CC0603JRNPO9BN250/5883609?s=N4IgTCBcDaIMJwAwDZEGYBSAlAcgBQHkBOAIRzAFZEQBdAXyA" TargetMode="External"/><Relationship Id="rId15" Type="http://schemas.openxmlformats.org/officeDocument/2006/relationships/hyperlink" Target="https://www.digikey.com/en/products/detail/omron-electronics-inc-emc-div/B3U-1000P/1534338" TargetMode="External"/><Relationship Id="rId23" Type="http://schemas.openxmlformats.org/officeDocument/2006/relationships/hyperlink" Target="https://www.digikey.com/en/products/detail/yageo/RC0402JR-071KL/729355" TargetMode="External"/><Relationship Id="rId28" Type="http://schemas.openxmlformats.org/officeDocument/2006/relationships/hyperlink" Target="https://www.digikey.com/en/products/detail/amphenol-icc-fci/20021121-00010C4LF/2209057?s=N4IgTCBcDa4AxzARicgtAuS4GEAsAMgGIgC6AvkA" TargetMode="External"/><Relationship Id="rId36" Type="http://schemas.openxmlformats.org/officeDocument/2006/relationships/hyperlink" Target="https://www.digikey.com/en/products/detail/chilisin-electronics/BMRA00040420100MA1/12141016?s=N4IgjCBcoCwGxVAYygMwIYBsDOBTANCAPZQDaIMArAMwAcA7DCALqEAOALlCAMocBOASwB2AcxABfQmACctGYhApIGHAWJkQABhbsukXgJHipIAExaGiztwCqwwRwDyqALK502AK79cIQl7cAK0AEv4gALYi3GA6hBHoAB4xOqYWtLTW%2BiD2ji7unj5%2BAdwAguFRwjEAdAjxSTUIpgC0lIrKqniEJJDkZiwSaZoAksIAJl5IHET8A0A" TargetMode="External"/><Relationship Id="rId49" Type="http://schemas.openxmlformats.org/officeDocument/2006/relationships/hyperlink" Target="https://www.adafruit.com/product/375" TargetMode="External"/><Relationship Id="rId10" Type="http://schemas.openxmlformats.org/officeDocument/2006/relationships/hyperlink" Target="https://www.digikey.com/en/products/detail/samsung-electro-mechanics/CL10A475KA8NQNC/3887558?s=N4IgTCBcDaIMIBkCMAGAggFgOwFYDSaAHAHICKxcIAugL5A" TargetMode="External"/><Relationship Id="rId19" Type="http://schemas.openxmlformats.org/officeDocument/2006/relationships/hyperlink" Target="https://eu.mouser.com/ProductDetail/YAGEO/RC0402FR-07133KL?qs=UOUeRUa%252B8WmCOdu%2F2H3z4Q%3D%3D" TargetMode="External"/><Relationship Id="rId31" Type="http://schemas.openxmlformats.org/officeDocument/2006/relationships/hyperlink" Target="https://www.digikey.com/en/products/detail/onsemi/FDN338P/458848" TargetMode="External"/><Relationship Id="rId44" Type="http://schemas.openxmlformats.org/officeDocument/2006/relationships/hyperlink" Target="https://www.digikey.com/en/products/detail/jst-sales-america-inc/B2B-XH-A-LF-SN/1651045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www.digikey.com/en/products/detail/rohm-semiconductor/TCP1A105M8R/923650?s=N4IgTCBcDaICoGEAKBGAgigDAVgLIA4AlEAXQF8g" TargetMode="External"/><Relationship Id="rId9" Type="http://schemas.openxmlformats.org/officeDocument/2006/relationships/hyperlink" Target="https://www.arrow.com/en/products/uwx1e101mcl1gb/nichicon" TargetMode="External"/><Relationship Id="rId14" Type="http://schemas.openxmlformats.org/officeDocument/2006/relationships/hyperlink" Target="https://eu.mouser.com/ProductDetail/Nexperia/PMEG3010ER115?qs=LMSg3oBIm%2FjofezKw7ztsw%3D%3D" TargetMode="External"/><Relationship Id="rId22" Type="http://schemas.openxmlformats.org/officeDocument/2006/relationships/hyperlink" Target="https://www.digikey.com/en/products/detail/yageo/RC0402FR-0747KL/726616?s=N4IgTCBcDaIEoGEAMAWJYBicC0SDsKeA0gDIgC6AvkA" TargetMode="External"/><Relationship Id="rId27" Type="http://schemas.openxmlformats.org/officeDocument/2006/relationships/hyperlink" Target="https://www.digikey.com/en/products/detail/texas-instruments/LMR62014XMFE-NOPB/2754196" TargetMode="External"/><Relationship Id="rId30" Type="http://schemas.openxmlformats.org/officeDocument/2006/relationships/hyperlink" Target="https://www.digikey.com/en/products/detail/vishay-semiconductor-opto-division/VLMS1500-GS08/3504681" TargetMode="External"/><Relationship Id="rId35" Type="http://schemas.openxmlformats.org/officeDocument/2006/relationships/hyperlink" Target="https://www.digikey.com/en/products/detail/rubycon/25SEV10M4X5-5/3568461" TargetMode="External"/><Relationship Id="rId43" Type="http://schemas.openxmlformats.org/officeDocument/2006/relationships/hyperlink" Target="https://www.digikey.com/en/products/detail/phoenix-contact/1711725/260395" TargetMode="External"/><Relationship Id="rId48" Type="http://schemas.openxmlformats.org/officeDocument/2006/relationships/hyperlink" Target="https://www.digikey.com/en/products/detail/sullins-connector-solutions/PPTC051LFBN-RC/807239" TargetMode="External"/><Relationship Id="rId8" Type="http://schemas.openxmlformats.org/officeDocument/2006/relationships/hyperlink" Target="https://eu.mouser.com/ProductDetail/Kyocera-AVX/TAJB475K035RNJ?qs=mgX5NEyWO4TjTiyDuj3Okg%3D%3D" TargetMode="External"/><Relationship Id="rId51" Type="http://schemas.openxmlformats.org/officeDocument/2006/relationships/hyperlink" Target="https://www.digikey.com/en/products/detail/nkk-switches/MS12ASG30/1058151" TargetMode="External"/><Relationship Id="rId3" Type="http://schemas.openxmlformats.org/officeDocument/2006/relationships/hyperlink" Target="https://www.digikey.com/en/products/detail/murata-electronics/GRM21BR61E226ME44L/4905535?s=N4IgTCBcDaIOICUCyYCMAhBA2VBRMYWSuALCQDIgC6AvkA" TargetMode="External"/><Relationship Id="rId12" Type="http://schemas.openxmlformats.org/officeDocument/2006/relationships/hyperlink" Target="https://www.digikey.com/en/products/detail/rohm-semiconductor/TCTU1D334M8R/4340359?s=N4IgTCBcDaICoGE4FUCMARAzJgLAWQA4AlEAXQF8g" TargetMode="External"/><Relationship Id="rId17" Type="http://schemas.openxmlformats.org/officeDocument/2006/relationships/hyperlink" Target="https://www.digikey.com/en/products/detail/yageo/RC0402JR-0720KL/2827648?s=N4IgTCBcDaIEoGEAMAWJYBScC0SDsYSA0gDIgC6AvkA" TargetMode="External"/><Relationship Id="rId25" Type="http://schemas.openxmlformats.org/officeDocument/2006/relationships/hyperlink" Target="https://www.digikey.com/en/products/detail/yageo/RC0402FR-0713K3L/5280834?s=N4IgTCBcDaIEoGEAMAWJYBicC0SDsAjAMwDSRAMiALoC%2BQA" TargetMode="External"/><Relationship Id="rId33" Type="http://schemas.openxmlformats.org/officeDocument/2006/relationships/hyperlink" Target="https://www.digikey.com/en/products/detail/ndk-america-inc/NX3215SA-32-768K-STD-MUA-8/2261469?s=N4IgTCBcDaIHIA0DMYCMBWAygQQLQoDoB2ANgA4BpXTAFQBFcBZAVTzJAF0BfIA" TargetMode="External"/><Relationship Id="rId38" Type="http://schemas.openxmlformats.org/officeDocument/2006/relationships/hyperlink" Target="https://www.digikey.com/en/products/detail/texas-instruments/DRV8876PWPR/10270191?s=N4IgTCBcDaICICUBqAOFB2AbABQOrYRAF0BfIA" TargetMode="External"/><Relationship Id="rId46" Type="http://schemas.openxmlformats.org/officeDocument/2006/relationships/hyperlink" Target="https://www.digikey.com/en/products/detail/yageo/RC0402JR-07100KL/726416" TargetMode="External"/><Relationship Id="rId20" Type="http://schemas.openxmlformats.org/officeDocument/2006/relationships/hyperlink" Target="https://www.digikey.com/en/products/detail/stackpole-electronics-inc/RMCF0402FT49K9/1942927" TargetMode="External"/><Relationship Id="rId41" Type="http://schemas.openxmlformats.org/officeDocument/2006/relationships/hyperlink" Target="https://www.digikey.com/en/products/detail/premium-batteries/CH25/13896129" TargetMode="External"/><Relationship Id="rId1" Type="http://schemas.openxmlformats.org/officeDocument/2006/relationships/hyperlink" Target="https://www.digikey.com/en/products/detail/panasonic-electronic-components/EEE-HB1E6R8R/817513?s=N4IgTCBcDaIKIIBICECMcBsAlAHFkAugL5A" TargetMode="External"/><Relationship Id="rId6" Type="http://schemas.openxmlformats.org/officeDocument/2006/relationships/hyperlink" Target="https://www.digikey.com/en/products/detail/yageo/CC0201JRNPO8BN200/588313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5"/>
  <sheetViews>
    <sheetView tabSelected="1" topLeftCell="E4" workbookViewId="0">
      <selection activeCell="L26" sqref="L26"/>
    </sheetView>
  </sheetViews>
  <sheetFormatPr defaultColWidth="9.140625" defaultRowHeight="15"/>
  <cols>
    <col min="1" max="1" width="6.140625" bestFit="1" customWidth="1"/>
    <col min="2" max="2" width="12.28515625" bestFit="1" customWidth="1"/>
    <col min="3" max="3" width="53" customWidth="1"/>
    <col min="4" max="4" width="28.7109375" customWidth="1"/>
    <col min="5" max="5" width="18.5703125" bestFit="1" customWidth="1"/>
    <col min="6" max="6" width="27.85546875" customWidth="1"/>
    <col min="7" max="8" width="25.7109375" bestFit="1" customWidth="1"/>
    <col min="9" max="9" width="6.42578125" bestFit="1" customWidth="1"/>
    <col min="10" max="10" width="19.42578125" bestFit="1" customWidth="1"/>
    <col min="11" max="11" width="10.140625" bestFit="1" customWidth="1"/>
    <col min="12" max="12" width="14" bestFit="1" customWidth="1"/>
    <col min="13" max="13" width="11.5703125" bestFit="1" customWidth="1"/>
    <col min="14" max="14" width="12.140625" bestFit="1" customWidth="1"/>
    <col min="15" max="15" width="11.7109375" customWidth="1"/>
  </cols>
  <sheetData>
    <row r="1" spans="1:15" ht="15.75">
      <c r="A1" s="109" t="s">
        <v>0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1"/>
    </row>
    <row r="2" spans="1:15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5" t="s">
        <v>12</v>
      </c>
      <c r="M2" s="2" t="s">
        <v>13</v>
      </c>
      <c r="N2" s="2" t="s">
        <v>14</v>
      </c>
      <c r="O2" s="2" t="s">
        <v>15</v>
      </c>
    </row>
    <row r="3" spans="1:15" ht="15.75" thickBot="1">
      <c r="A3" s="1">
        <v>1</v>
      </c>
      <c r="B3" s="114" t="s">
        <v>16</v>
      </c>
      <c r="C3" s="13" t="s">
        <v>17</v>
      </c>
      <c r="D3" s="14" t="s">
        <v>18</v>
      </c>
      <c r="E3" s="14" t="s">
        <v>19</v>
      </c>
      <c r="F3" s="14" t="s">
        <v>20</v>
      </c>
      <c r="G3" s="15" t="s">
        <v>21</v>
      </c>
      <c r="H3" s="14" t="s">
        <v>22</v>
      </c>
      <c r="I3" s="14" t="s">
        <v>23</v>
      </c>
      <c r="J3" s="15">
        <v>1</v>
      </c>
      <c r="K3" s="15">
        <f t="shared" ref="K3:K53" si="0">J3*5</f>
        <v>5</v>
      </c>
      <c r="L3" s="16" t="s">
        <v>24</v>
      </c>
      <c r="M3" s="17">
        <v>0.43</v>
      </c>
      <c r="N3" s="18">
        <f t="shared" ref="N3:N52" si="1">M3*K3</f>
        <v>2.15</v>
      </c>
      <c r="O3" s="19"/>
    </row>
    <row r="4" spans="1:15" ht="15.75" thickBot="1">
      <c r="A4" s="1">
        <v>2</v>
      </c>
      <c r="B4" s="115"/>
      <c r="C4" s="20" t="s">
        <v>25</v>
      </c>
      <c r="D4" s="21" t="s">
        <v>26</v>
      </c>
      <c r="E4" s="21" t="s">
        <v>19</v>
      </c>
      <c r="F4" s="22" t="s">
        <v>27</v>
      </c>
      <c r="G4" s="23" t="s">
        <v>28</v>
      </c>
      <c r="H4" s="21" t="s">
        <v>29</v>
      </c>
      <c r="I4" s="21" t="s">
        <v>30</v>
      </c>
      <c r="J4" s="23">
        <v>1</v>
      </c>
      <c r="K4" s="23">
        <f t="shared" si="0"/>
        <v>5</v>
      </c>
      <c r="L4" s="24" t="s">
        <v>24</v>
      </c>
      <c r="M4" s="25">
        <v>0.47</v>
      </c>
      <c r="N4" s="26">
        <f t="shared" si="1"/>
        <v>2.3499999999999996</v>
      </c>
      <c r="O4" s="27"/>
    </row>
    <row r="5" spans="1:15" ht="26.25" thickBot="1">
      <c r="A5" s="1">
        <v>3</v>
      </c>
      <c r="B5" s="115"/>
      <c r="C5" s="20" t="s">
        <v>31</v>
      </c>
      <c r="D5" s="106" t="s">
        <v>305</v>
      </c>
      <c r="E5" s="21" t="s">
        <v>32</v>
      </c>
      <c r="F5" s="21" t="s">
        <v>33</v>
      </c>
      <c r="G5" s="23" t="s">
        <v>34</v>
      </c>
      <c r="H5" s="21" t="s">
        <v>22</v>
      </c>
      <c r="I5" s="21" t="s">
        <v>35</v>
      </c>
      <c r="J5" s="23">
        <v>14</v>
      </c>
      <c r="K5" s="23">
        <f t="shared" si="0"/>
        <v>70</v>
      </c>
      <c r="L5" s="28" t="s">
        <v>24</v>
      </c>
      <c r="M5" s="25">
        <v>1.5800000000000002E-2</v>
      </c>
      <c r="N5" s="26">
        <f t="shared" si="1"/>
        <v>1.1060000000000001</v>
      </c>
      <c r="O5" s="27"/>
    </row>
    <row r="6" spans="1:15" ht="15.75" thickBot="1">
      <c r="A6" s="1">
        <v>4</v>
      </c>
      <c r="B6" s="115"/>
      <c r="C6" s="20" t="s">
        <v>36</v>
      </c>
      <c r="D6" s="21" t="s">
        <v>37</v>
      </c>
      <c r="E6" s="21" t="s">
        <v>38</v>
      </c>
      <c r="F6" s="21" t="s">
        <v>39</v>
      </c>
      <c r="G6" s="23" t="s">
        <v>40</v>
      </c>
      <c r="H6" s="21" t="s">
        <v>22</v>
      </c>
      <c r="I6" s="21" t="s">
        <v>41</v>
      </c>
      <c r="J6" s="23">
        <v>2</v>
      </c>
      <c r="K6" s="23">
        <f t="shared" si="0"/>
        <v>10</v>
      </c>
      <c r="L6" s="29" t="s">
        <v>24</v>
      </c>
      <c r="M6" s="26">
        <v>0.30199999999999999</v>
      </c>
      <c r="N6" s="26">
        <f t="shared" si="1"/>
        <v>3.02</v>
      </c>
      <c r="O6" s="30"/>
    </row>
    <row r="7" spans="1:15" ht="15.75" thickBot="1">
      <c r="A7" s="1">
        <v>5</v>
      </c>
      <c r="B7" s="115"/>
      <c r="C7" s="20" t="s">
        <v>42</v>
      </c>
      <c r="D7" s="21" t="s">
        <v>43</v>
      </c>
      <c r="E7" s="21" t="s">
        <v>19</v>
      </c>
      <c r="F7" s="21" t="s">
        <v>44</v>
      </c>
      <c r="G7" s="23" t="s">
        <v>45</v>
      </c>
      <c r="H7" s="21" t="s">
        <v>22</v>
      </c>
      <c r="I7" s="21" t="s">
        <v>46</v>
      </c>
      <c r="J7" s="23">
        <v>2</v>
      </c>
      <c r="K7" s="23">
        <f t="shared" si="0"/>
        <v>10</v>
      </c>
      <c r="L7" s="29" t="s">
        <v>24</v>
      </c>
      <c r="M7" s="26">
        <v>0.378</v>
      </c>
      <c r="N7" s="26">
        <f t="shared" si="1"/>
        <v>3.7800000000000002</v>
      </c>
      <c r="O7" s="30"/>
    </row>
    <row r="8" spans="1:15" ht="15.75" thickBot="1">
      <c r="A8" s="1">
        <v>6</v>
      </c>
      <c r="B8" s="115"/>
      <c r="C8" s="20" t="s">
        <v>47</v>
      </c>
      <c r="D8" s="21" t="s">
        <v>48</v>
      </c>
      <c r="E8" s="21" t="s">
        <v>49</v>
      </c>
      <c r="F8" s="21" t="s">
        <v>50</v>
      </c>
      <c r="G8" s="23" t="s">
        <v>51</v>
      </c>
      <c r="H8" s="21" t="s">
        <v>22</v>
      </c>
      <c r="I8" s="21" t="s">
        <v>52</v>
      </c>
      <c r="J8" s="23">
        <v>1</v>
      </c>
      <c r="K8" s="23">
        <f t="shared" si="0"/>
        <v>5</v>
      </c>
      <c r="L8" s="29" t="s">
        <v>24</v>
      </c>
      <c r="M8" s="26">
        <v>0.11</v>
      </c>
      <c r="N8" s="26">
        <f t="shared" si="1"/>
        <v>0.55000000000000004</v>
      </c>
      <c r="O8" s="30"/>
    </row>
    <row r="9" spans="1:15" ht="15.75" thickBot="1">
      <c r="A9" s="1">
        <v>7</v>
      </c>
      <c r="B9" s="115"/>
      <c r="C9" s="20" t="s">
        <v>53</v>
      </c>
      <c r="D9" s="21" t="s">
        <v>54</v>
      </c>
      <c r="E9" s="21" t="s">
        <v>55</v>
      </c>
      <c r="F9" s="22" t="s">
        <v>56</v>
      </c>
      <c r="G9" s="23" t="s">
        <v>40</v>
      </c>
      <c r="H9" s="21" t="s">
        <v>57</v>
      </c>
      <c r="I9" s="21" t="s">
        <v>58</v>
      </c>
      <c r="J9" s="23">
        <v>4</v>
      </c>
      <c r="K9" s="23">
        <f t="shared" si="0"/>
        <v>20</v>
      </c>
      <c r="L9" s="29" t="s">
        <v>24</v>
      </c>
      <c r="M9" s="26">
        <v>2.5999999999999999E-2</v>
      </c>
      <c r="N9" s="26">
        <f t="shared" si="1"/>
        <v>0.52</v>
      </c>
      <c r="O9" s="31"/>
    </row>
    <row r="10" spans="1:15" ht="15.75" thickBot="1">
      <c r="A10" s="1">
        <v>8</v>
      </c>
      <c r="B10" s="115"/>
      <c r="C10" s="20" t="s">
        <v>59</v>
      </c>
      <c r="D10" s="21" t="s">
        <v>60</v>
      </c>
      <c r="E10" s="21" t="s">
        <v>49</v>
      </c>
      <c r="F10" s="21" t="s">
        <v>61</v>
      </c>
      <c r="G10" s="23" t="s">
        <v>62</v>
      </c>
      <c r="H10" s="21" t="s">
        <v>22</v>
      </c>
      <c r="I10" s="21" t="s">
        <v>63</v>
      </c>
      <c r="J10" s="23">
        <v>1</v>
      </c>
      <c r="K10" s="23">
        <f t="shared" si="0"/>
        <v>5</v>
      </c>
      <c r="L10" s="29" t="s">
        <v>24</v>
      </c>
      <c r="M10" s="26">
        <v>0.11</v>
      </c>
      <c r="N10" s="26">
        <f t="shared" si="1"/>
        <v>0.55000000000000004</v>
      </c>
      <c r="O10" s="30"/>
    </row>
    <row r="11" spans="1:15" ht="15.75" thickBot="1">
      <c r="A11" s="1">
        <v>9</v>
      </c>
      <c r="B11" s="115"/>
      <c r="C11" s="20" t="s">
        <v>64</v>
      </c>
      <c r="D11" s="21" t="s">
        <v>65</v>
      </c>
      <c r="E11" s="21" t="s">
        <v>66</v>
      </c>
      <c r="F11" s="21" t="s">
        <v>67</v>
      </c>
      <c r="G11" s="23" t="s">
        <v>68</v>
      </c>
      <c r="H11" s="21" t="s">
        <v>22</v>
      </c>
      <c r="I11" s="21" t="s">
        <v>69</v>
      </c>
      <c r="J11" s="23">
        <v>1</v>
      </c>
      <c r="K11" s="23">
        <f t="shared" si="0"/>
        <v>5</v>
      </c>
      <c r="L11" s="24" t="s">
        <v>70</v>
      </c>
      <c r="M11" s="26">
        <v>0.44</v>
      </c>
      <c r="N11" s="26">
        <f t="shared" si="1"/>
        <v>2.2000000000000002</v>
      </c>
      <c r="O11" s="32"/>
    </row>
    <row r="12" spans="1:15" ht="15.75" thickBot="1">
      <c r="A12" s="1">
        <v>10</v>
      </c>
      <c r="B12" s="115"/>
      <c r="C12" s="20" t="s">
        <v>71</v>
      </c>
      <c r="D12" s="21" t="s">
        <v>72</v>
      </c>
      <c r="E12" s="21" t="s">
        <v>19</v>
      </c>
      <c r="F12" s="21" t="s">
        <v>73</v>
      </c>
      <c r="G12" s="23" t="s">
        <v>74</v>
      </c>
      <c r="H12" s="21" t="s">
        <v>22</v>
      </c>
      <c r="I12" s="21" t="s">
        <v>75</v>
      </c>
      <c r="J12" s="23">
        <v>1</v>
      </c>
      <c r="K12" s="23">
        <f t="shared" si="0"/>
        <v>5</v>
      </c>
      <c r="L12" s="24" t="s">
        <v>76</v>
      </c>
      <c r="M12" s="33">
        <v>0.6411</v>
      </c>
      <c r="N12" s="26">
        <f t="shared" si="1"/>
        <v>3.2054999999999998</v>
      </c>
      <c r="O12" s="32"/>
    </row>
    <row r="13" spans="1:15" ht="15.75" thickBot="1">
      <c r="A13" s="1">
        <v>11</v>
      </c>
      <c r="B13" s="115"/>
      <c r="C13" s="20" t="s">
        <v>77</v>
      </c>
      <c r="D13" s="21" t="s">
        <v>78</v>
      </c>
      <c r="E13" s="21" t="s">
        <v>49</v>
      </c>
      <c r="F13" s="21" t="s">
        <v>79</v>
      </c>
      <c r="G13" s="23" t="s">
        <v>80</v>
      </c>
      <c r="H13" s="21" t="s">
        <v>22</v>
      </c>
      <c r="I13" s="21" t="s">
        <v>81</v>
      </c>
      <c r="J13" s="23">
        <v>1</v>
      </c>
      <c r="K13" s="23">
        <f t="shared" si="0"/>
        <v>5</v>
      </c>
      <c r="L13" s="24" t="s">
        <v>24</v>
      </c>
      <c r="M13" s="26">
        <v>0.25900000000000001</v>
      </c>
      <c r="N13" s="26">
        <f t="shared" si="1"/>
        <v>1.2949999999999999</v>
      </c>
      <c r="O13" s="32"/>
    </row>
    <row r="14" spans="1:15" ht="15.75" thickBot="1">
      <c r="A14" s="1">
        <v>12</v>
      </c>
      <c r="B14" s="115"/>
      <c r="C14" s="20" t="s">
        <v>82</v>
      </c>
      <c r="D14" s="23" t="s">
        <v>83</v>
      </c>
      <c r="E14" s="21" t="s">
        <v>32</v>
      </c>
      <c r="F14" s="21" t="s">
        <v>84</v>
      </c>
      <c r="G14" s="23" t="s">
        <v>85</v>
      </c>
      <c r="H14" s="21" t="s">
        <v>22</v>
      </c>
      <c r="I14" s="21" t="s">
        <v>86</v>
      </c>
      <c r="J14" s="23">
        <v>1</v>
      </c>
      <c r="K14" s="34">
        <f t="shared" si="0"/>
        <v>5</v>
      </c>
      <c r="L14" s="35" t="s">
        <v>24</v>
      </c>
      <c r="M14" s="26">
        <v>0.156</v>
      </c>
      <c r="N14" s="26">
        <f t="shared" si="1"/>
        <v>0.78</v>
      </c>
      <c r="O14" s="32"/>
    </row>
    <row r="15" spans="1:15" ht="15.75" thickBot="1">
      <c r="A15" s="1">
        <v>13</v>
      </c>
      <c r="B15" s="115"/>
      <c r="C15" s="20" t="s">
        <v>87</v>
      </c>
      <c r="D15" s="21" t="s">
        <v>88</v>
      </c>
      <c r="E15" s="21" t="s">
        <v>32</v>
      </c>
      <c r="F15" s="21" t="s">
        <v>89</v>
      </c>
      <c r="G15" s="23" t="s">
        <v>90</v>
      </c>
      <c r="H15" s="21" t="s">
        <v>22</v>
      </c>
      <c r="I15" s="21" t="s">
        <v>91</v>
      </c>
      <c r="J15" s="36">
        <v>1</v>
      </c>
      <c r="K15" s="23">
        <f t="shared" si="0"/>
        <v>5</v>
      </c>
      <c r="L15" s="24" t="s">
        <v>24</v>
      </c>
      <c r="M15" s="37">
        <v>0.52</v>
      </c>
      <c r="N15" s="37">
        <f t="shared" si="1"/>
        <v>2.6</v>
      </c>
      <c r="O15" s="32"/>
    </row>
    <row r="16" spans="1:15" ht="15.75" thickBot="1">
      <c r="A16" s="1">
        <v>14</v>
      </c>
      <c r="B16" s="115"/>
      <c r="C16" s="38" t="s">
        <v>92</v>
      </c>
      <c r="D16" s="39" t="s">
        <v>93</v>
      </c>
      <c r="E16" s="39" t="s">
        <v>32</v>
      </c>
      <c r="F16" s="39" t="s">
        <v>94</v>
      </c>
      <c r="G16" s="34" t="s">
        <v>95</v>
      </c>
      <c r="H16" s="39" t="s">
        <v>96</v>
      </c>
      <c r="I16" s="39" t="s">
        <v>97</v>
      </c>
      <c r="J16" s="34">
        <v>1</v>
      </c>
      <c r="K16" s="40">
        <f t="shared" si="0"/>
        <v>5</v>
      </c>
      <c r="L16" s="41" t="s">
        <v>24</v>
      </c>
      <c r="M16" s="42">
        <v>0.1</v>
      </c>
      <c r="N16" s="37">
        <f t="shared" si="1"/>
        <v>0.5</v>
      </c>
      <c r="O16" s="43"/>
    </row>
    <row r="17" spans="1:15" ht="15.75" thickBot="1">
      <c r="A17" s="1">
        <v>15</v>
      </c>
      <c r="B17" s="114" t="s">
        <v>98</v>
      </c>
      <c r="C17" s="44" t="s">
        <v>99</v>
      </c>
      <c r="D17" s="45" t="s">
        <v>100</v>
      </c>
      <c r="E17" s="14" t="s">
        <v>101</v>
      </c>
      <c r="F17" s="15" t="s">
        <v>102</v>
      </c>
      <c r="G17" s="15" t="s">
        <v>103</v>
      </c>
      <c r="H17" s="14" t="s">
        <v>96</v>
      </c>
      <c r="I17" s="14" t="s">
        <v>22</v>
      </c>
      <c r="J17" s="15">
        <v>1</v>
      </c>
      <c r="K17" s="15">
        <f t="shared" si="0"/>
        <v>5</v>
      </c>
      <c r="L17" s="107" t="s">
        <v>104</v>
      </c>
      <c r="M17" s="46">
        <v>0.5</v>
      </c>
      <c r="N17" s="47">
        <f t="shared" si="1"/>
        <v>2.5</v>
      </c>
      <c r="O17" s="48"/>
    </row>
    <row r="18" spans="1:15" ht="15.75" thickBot="1">
      <c r="A18" s="1">
        <v>16</v>
      </c>
      <c r="B18" s="116"/>
      <c r="C18" s="49" t="s">
        <v>105</v>
      </c>
      <c r="D18" s="50" t="s">
        <v>106</v>
      </c>
      <c r="E18" s="50" t="s">
        <v>107</v>
      </c>
      <c r="F18" s="50" t="s">
        <v>108</v>
      </c>
      <c r="G18" s="51" t="s">
        <v>109</v>
      </c>
      <c r="H18" s="50" t="s">
        <v>110</v>
      </c>
      <c r="I18" s="50" t="s">
        <v>111</v>
      </c>
      <c r="J18" s="51">
        <v>2</v>
      </c>
      <c r="K18" s="51">
        <f t="shared" si="0"/>
        <v>10</v>
      </c>
      <c r="L18" s="52" t="s">
        <v>70</v>
      </c>
      <c r="M18" s="53">
        <v>0.32200000000000001</v>
      </c>
      <c r="N18" s="53">
        <f t="shared" si="1"/>
        <v>3.22</v>
      </c>
      <c r="O18" s="54"/>
    </row>
    <row r="19" spans="1:15" ht="16.5" thickBot="1">
      <c r="A19" s="1">
        <v>17</v>
      </c>
      <c r="B19" s="3" t="s">
        <v>112</v>
      </c>
      <c r="C19" s="55" t="s">
        <v>113</v>
      </c>
      <c r="D19" s="56" t="s">
        <v>306</v>
      </c>
      <c r="E19" s="56" t="s">
        <v>114</v>
      </c>
      <c r="F19" s="57" t="s">
        <v>115</v>
      </c>
      <c r="G19" s="40" t="s">
        <v>116</v>
      </c>
      <c r="H19" s="56" t="s">
        <v>117</v>
      </c>
      <c r="I19" s="56" t="s">
        <v>111</v>
      </c>
      <c r="J19" s="40">
        <v>1</v>
      </c>
      <c r="K19" s="40">
        <f t="shared" si="0"/>
        <v>5</v>
      </c>
      <c r="L19" s="58" t="s">
        <v>24</v>
      </c>
      <c r="M19" s="59">
        <v>0.32200000000000001</v>
      </c>
      <c r="N19" s="59">
        <f t="shared" si="1"/>
        <v>1.61</v>
      </c>
      <c r="O19" s="60"/>
    </row>
    <row r="20" spans="1:15" ht="15.75" thickBot="1">
      <c r="A20" s="1">
        <v>18</v>
      </c>
      <c r="B20" s="114" t="s">
        <v>118</v>
      </c>
      <c r="C20" s="13" t="s">
        <v>119</v>
      </c>
      <c r="D20" s="14" t="s">
        <v>120</v>
      </c>
      <c r="E20" s="14" t="s">
        <v>121</v>
      </c>
      <c r="F20" s="14" t="s">
        <v>122</v>
      </c>
      <c r="G20" s="15" t="s">
        <v>123</v>
      </c>
      <c r="H20" s="14" t="s">
        <v>22</v>
      </c>
      <c r="I20" s="14" t="s">
        <v>111</v>
      </c>
      <c r="J20" s="15">
        <v>1</v>
      </c>
      <c r="K20" s="15">
        <f t="shared" si="0"/>
        <v>5</v>
      </c>
      <c r="L20" s="16" t="s">
        <v>24</v>
      </c>
      <c r="M20" s="47">
        <v>0.52</v>
      </c>
      <c r="N20" s="47">
        <f t="shared" si="1"/>
        <v>2.6</v>
      </c>
      <c r="O20" s="61"/>
    </row>
    <row r="21" spans="1:15" ht="15.75" thickBot="1">
      <c r="A21" s="1">
        <v>20</v>
      </c>
      <c r="B21" s="115"/>
      <c r="C21" s="20" t="s">
        <v>124</v>
      </c>
      <c r="D21" s="21" t="s">
        <v>125</v>
      </c>
      <c r="E21" s="21" t="s">
        <v>121</v>
      </c>
      <c r="F21" s="21" t="s">
        <v>126</v>
      </c>
      <c r="G21" s="23" t="s">
        <v>127</v>
      </c>
      <c r="H21" s="21" t="s">
        <v>22</v>
      </c>
      <c r="I21" s="62" t="s">
        <v>111</v>
      </c>
      <c r="J21" s="23">
        <v>1</v>
      </c>
      <c r="K21" s="23">
        <f t="shared" si="0"/>
        <v>5</v>
      </c>
      <c r="L21" s="24" t="s">
        <v>24</v>
      </c>
      <c r="M21" s="26">
        <v>0.67</v>
      </c>
      <c r="N21" s="26">
        <f t="shared" si="1"/>
        <v>3.35</v>
      </c>
      <c r="O21" s="31"/>
    </row>
    <row r="22" spans="1:15" ht="15.75" thickBot="1">
      <c r="A22" s="1">
        <v>21</v>
      </c>
      <c r="B22" s="115"/>
      <c r="C22" s="20" t="s">
        <v>128</v>
      </c>
      <c r="D22" s="21" t="s">
        <v>129</v>
      </c>
      <c r="E22" s="21" t="s">
        <v>121</v>
      </c>
      <c r="F22" s="21" t="s">
        <v>130</v>
      </c>
      <c r="G22" s="23" t="s">
        <v>123</v>
      </c>
      <c r="H22" s="21" t="s">
        <v>22</v>
      </c>
      <c r="I22" s="62" t="s">
        <v>111</v>
      </c>
      <c r="J22" s="23">
        <v>1</v>
      </c>
      <c r="K22" s="23">
        <f t="shared" si="0"/>
        <v>5</v>
      </c>
      <c r="L22" s="29" t="s">
        <v>24</v>
      </c>
      <c r="M22" s="26">
        <v>0.55000000000000004</v>
      </c>
      <c r="N22" s="26">
        <f t="shared" si="1"/>
        <v>2.75</v>
      </c>
      <c r="O22" s="31"/>
    </row>
    <row r="23" spans="1:15" ht="15.75" thickBot="1">
      <c r="A23" s="1">
        <v>24</v>
      </c>
      <c r="B23" s="115" t="s">
        <v>131</v>
      </c>
      <c r="C23" s="65" t="s">
        <v>132</v>
      </c>
      <c r="D23" s="62" t="s">
        <v>133</v>
      </c>
      <c r="E23" s="62" t="s">
        <v>19</v>
      </c>
      <c r="F23" s="121" t="s">
        <v>134</v>
      </c>
      <c r="G23" s="66" t="s">
        <v>135</v>
      </c>
      <c r="H23" s="21" t="s">
        <v>22</v>
      </c>
      <c r="I23" s="62" t="s">
        <v>111</v>
      </c>
      <c r="J23" s="66">
        <v>1</v>
      </c>
      <c r="K23" s="66">
        <f t="shared" si="0"/>
        <v>5</v>
      </c>
      <c r="L23" s="67" t="s">
        <v>290</v>
      </c>
      <c r="M23" s="68">
        <v>1.5</v>
      </c>
      <c r="N23" s="68">
        <f t="shared" si="1"/>
        <v>7.5</v>
      </c>
      <c r="O23" s="31"/>
    </row>
    <row r="24" spans="1:15" ht="15.75" thickBot="1">
      <c r="A24" s="1">
        <v>25</v>
      </c>
      <c r="B24" s="115"/>
      <c r="C24" s="38" t="s">
        <v>136</v>
      </c>
      <c r="D24" s="39" t="s">
        <v>137</v>
      </c>
      <c r="E24" s="39" t="s">
        <v>19</v>
      </c>
      <c r="F24" s="39" t="s">
        <v>138</v>
      </c>
      <c r="G24" s="34" t="s">
        <v>139</v>
      </c>
      <c r="H24" s="39" t="s">
        <v>22</v>
      </c>
      <c r="I24" s="56" t="s">
        <v>111</v>
      </c>
      <c r="J24" s="34">
        <v>1</v>
      </c>
      <c r="K24" s="34">
        <f t="shared" si="0"/>
        <v>5</v>
      </c>
      <c r="L24" s="69" t="s">
        <v>24</v>
      </c>
      <c r="M24" s="37">
        <v>1.01</v>
      </c>
      <c r="N24" s="37">
        <f t="shared" si="1"/>
        <v>5.05</v>
      </c>
      <c r="O24" s="43"/>
    </row>
    <row r="25" spans="1:15" ht="16.5" thickBot="1">
      <c r="A25" s="1">
        <v>26</v>
      </c>
      <c r="B25" s="4" t="s">
        <v>140</v>
      </c>
      <c r="C25" s="70" t="s">
        <v>141</v>
      </c>
      <c r="D25" s="71" t="s">
        <v>142</v>
      </c>
      <c r="E25" s="71" t="s">
        <v>19</v>
      </c>
      <c r="F25" s="72" t="s">
        <v>143</v>
      </c>
      <c r="G25" s="73" t="s">
        <v>144</v>
      </c>
      <c r="H25" s="73" t="s">
        <v>145</v>
      </c>
      <c r="I25" s="71" t="s">
        <v>111</v>
      </c>
      <c r="J25" s="73">
        <v>1</v>
      </c>
      <c r="K25" s="73">
        <f t="shared" si="0"/>
        <v>5</v>
      </c>
      <c r="L25" s="74" t="s">
        <v>24</v>
      </c>
      <c r="M25" s="75">
        <v>0.68</v>
      </c>
      <c r="N25" s="75">
        <f t="shared" si="1"/>
        <v>3.4000000000000004</v>
      </c>
      <c r="O25" s="76"/>
    </row>
    <row r="26" spans="1:15" ht="16.5" thickBot="1">
      <c r="A26" s="1">
        <v>27</v>
      </c>
      <c r="B26" s="3" t="s">
        <v>146</v>
      </c>
      <c r="C26" s="55" t="s">
        <v>147</v>
      </c>
      <c r="D26" s="56" t="s">
        <v>148</v>
      </c>
      <c r="E26" s="56" t="s">
        <v>19</v>
      </c>
      <c r="F26" s="56" t="s">
        <v>149</v>
      </c>
      <c r="G26" s="40" t="s">
        <v>150</v>
      </c>
      <c r="H26" s="56" t="s">
        <v>22</v>
      </c>
      <c r="I26" s="56" t="s">
        <v>111</v>
      </c>
      <c r="J26" s="40">
        <v>2</v>
      </c>
      <c r="K26" s="40">
        <f t="shared" si="0"/>
        <v>10</v>
      </c>
      <c r="L26" s="58" t="s">
        <v>24</v>
      </c>
      <c r="M26" s="59">
        <v>0.65400000000000003</v>
      </c>
      <c r="N26" s="59">
        <f t="shared" si="1"/>
        <v>6.54</v>
      </c>
      <c r="O26" s="60"/>
    </row>
    <row r="27" spans="1:15" ht="15.75" thickBot="1">
      <c r="A27" s="1">
        <v>28</v>
      </c>
      <c r="B27" s="114" t="s">
        <v>151</v>
      </c>
      <c r="C27" s="77" t="s">
        <v>152</v>
      </c>
      <c r="D27" s="14" t="s">
        <v>153</v>
      </c>
      <c r="E27" s="14" t="s">
        <v>154</v>
      </c>
      <c r="F27" s="78" t="s">
        <v>155</v>
      </c>
      <c r="G27" s="15" t="s">
        <v>156</v>
      </c>
      <c r="H27" s="15" t="s">
        <v>157</v>
      </c>
      <c r="I27" s="14" t="s">
        <v>158</v>
      </c>
      <c r="J27" s="15">
        <v>1</v>
      </c>
      <c r="K27" s="15">
        <f t="shared" si="0"/>
        <v>5</v>
      </c>
      <c r="L27" s="79" t="s">
        <v>24</v>
      </c>
      <c r="M27" s="47">
        <v>0.1</v>
      </c>
      <c r="N27" s="47">
        <f t="shared" si="1"/>
        <v>0.5</v>
      </c>
      <c r="O27" s="48"/>
    </row>
    <row r="28" spans="1:15" ht="15.75" thickBot="1">
      <c r="A28" s="1">
        <v>29</v>
      </c>
      <c r="B28" s="115"/>
      <c r="C28" s="20" t="s">
        <v>159</v>
      </c>
      <c r="D28" s="21" t="s">
        <v>160</v>
      </c>
      <c r="E28" s="21" t="s">
        <v>161</v>
      </c>
      <c r="F28" s="21" t="s">
        <v>162</v>
      </c>
      <c r="G28" s="23" t="s">
        <v>163</v>
      </c>
      <c r="H28" s="21" t="s">
        <v>22</v>
      </c>
      <c r="I28" s="21" t="s">
        <v>164</v>
      </c>
      <c r="J28" s="23">
        <v>1</v>
      </c>
      <c r="K28" s="23">
        <f t="shared" si="0"/>
        <v>5</v>
      </c>
      <c r="L28" s="24" t="s">
        <v>24</v>
      </c>
      <c r="M28" s="26">
        <v>0.1</v>
      </c>
      <c r="N28" s="26">
        <f t="shared" si="1"/>
        <v>0.5</v>
      </c>
      <c r="O28" s="32"/>
    </row>
    <row r="29" spans="1:15" ht="15.75" thickBot="1">
      <c r="A29" s="1">
        <v>30</v>
      </c>
      <c r="B29" s="115"/>
      <c r="C29" s="20" t="s">
        <v>165</v>
      </c>
      <c r="D29" s="21" t="s">
        <v>307</v>
      </c>
      <c r="E29" s="21" t="s">
        <v>154</v>
      </c>
      <c r="F29" s="21" t="s">
        <v>166</v>
      </c>
      <c r="G29" s="23" t="s">
        <v>95</v>
      </c>
      <c r="H29" s="21" t="s">
        <v>22</v>
      </c>
      <c r="I29" s="21" t="s">
        <v>167</v>
      </c>
      <c r="J29" s="23">
        <v>5</v>
      </c>
      <c r="K29" s="23">
        <f t="shared" si="0"/>
        <v>25</v>
      </c>
      <c r="L29" s="24" t="s">
        <v>24</v>
      </c>
      <c r="M29" s="26">
        <v>1.2999999999999999E-2</v>
      </c>
      <c r="N29" s="26">
        <f t="shared" si="1"/>
        <v>0.32500000000000001</v>
      </c>
      <c r="O29" s="32"/>
    </row>
    <row r="30" spans="1:15" ht="15.75" thickBot="1">
      <c r="A30" s="1">
        <v>33</v>
      </c>
      <c r="B30" s="115"/>
      <c r="C30" s="20" t="s">
        <v>168</v>
      </c>
      <c r="D30" s="21" t="s">
        <v>169</v>
      </c>
      <c r="E30" s="21" t="s">
        <v>154</v>
      </c>
      <c r="F30" s="22" t="s">
        <v>170</v>
      </c>
      <c r="G30" s="23" t="s">
        <v>171</v>
      </c>
      <c r="H30" s="80" t="s">
        <v>172</v>
      </c>
      <c r="I30" s="21" t="s">
        <v>173</v>
      </c>
      <c r="J30" s="23">
        <v>9</v>
      </c>
      <c r="K30" s="23">
        <f t="shared" si="0"/>
        <v>45</v>
      </c>
      <c r="L30" s="24" t="s">
        <v>24</v>
      </c>
      <c r="M30" s="26">
        <v>0.223</v>
      </c>
      <c r="N30" s="26">
        <f t="shared" si="1"/>
        <v>10.035</v>
      </c>
      <c r="O30" s="31"/>
    </row>
    <row r="31" spans="1:15" ht="15.75" thickBot="1">
      <c r="A31" s="1">
        <v>34</v>
      </c>
      <c r="B31" s="115"/>
      <c r="C31" s="20" t="s">
        <v>174</v>
      </c>
      <c r="D31" s="21" t="s">
        <v>175</v>
      </c>
      <c r="E31" s="21" t="s">
        <v>154</v>
      </c>
      <c r="F31" s="21" t="s">
        <v>176</v>
      </c>
      <c r="G31" s="23" t="s">
        <v>95</v>
      </c>
      <c r="H31" s="21" t="s">
        <v>22</v>
      </c>
      <c r="I31" s="21" t="s">
        <v>177</v>
      </c>
      <c r="J31" s="23">
        <v>1</v>
      </c>
      <c r="K31" s="23">
        <f t="shared" si="0"/>
        <v>5</v>
      </c>
      <c r="L31" s="24" t="s">
        <v>70</v>
      </c>
      <c r="M31" s="26">
        <v>0.10100000000000001</v>
      </c>
      <c r="N31" s="26">
        <f t="shared" si="1"/>
        <v>0.505</v>
      </c>
      <c r="O31" s="32"/>
    </row>
    <row r="32" spans="1:15" ht="15.75" thickBot="1">
      <c r="A32" s="1">
        <v>35</v>
      </c>
      <c r="B32" s="115"/>
      <c r="C32" s="20" t="s">
        <v>178</v>
      </c>
      <c r="D32" s="21" t="s">
        <v>179</v>
      </c>
      <c r="E32" s="21" t="s">
        <v>154</v>
      </c>
      <c r="F32" s="22" t="s">
        <v>180</v>
      </c>
      <c r="G32" s="23" t="s">
        <v>171</v>
      </c>
      <c r="H32" s="23" t="s">
        <v>181</v>
      </c>
      <c r="I32" s="21" t="s">
        <v>182</v>
      </c>
      <c r="J32" s="23">
        <v>1</v>
      </c>
      <c r="K32" s="23">
        <f t="shared" si="0"/>
        <v>5</v>
      </c>
      <c r="L32" s="24" t="s">
        <v>24</v>
      </c>
      <c r="M32" s="26">
        <v>0.1</v>
      </c>
      <c r="N32" s="26">
        <f t="shared" si="1"/>
        <v>0.5</v>
      </c>
      <c r="O32" s="31"/>
    </row>
    <row r="33" spans="1:15" ht="15.75" thickBot="1">
      <c r="A33" s="1">
        <v>36</v>
      </c>
      <c r="B33" s="115"/>
      <c r="C33" s="20" t="s">
        <v>183</v>
      </c>
      <c r="D33" s="21" t="s">
        <v>184</v>
      </c>
      <c r="E33" s="21" t="s">
        <v>154</v>
      </c>
      <c r="F33" s="22" t="s">
        <v>185</v>
      </c>
      <c r="G33" s="23" t="s">
        <v>95</v>
      </c>
      <c r="H33" s="23" t="s">
        <v>186</v>
      </c>
      <c r="I33" s="21" t="s">
        <v>187</v>
      </c>
      <c r="J33" s="23">
        <v>4</v>
      </c>
      <c r="K33" s="23">
        <f t="shared" si="0"/>
        <v>20</v>
      </c>
      <c r="L33" s="24" t="s">
        <v>24</v>
      </c>
      <c r="M33" s="26">
        <v>1.2999999999999999E-2</v>
      </c>
      <c r="N33" s="26">
        <f t="shared" si="1"/>
        <v>0.26</v>
      </c>
      <c r="O33" s="31"/>
    </row>
    <row r="34" spans="1:15" ht="15.75" thickBot="1">
      <c r="A34" s="1">
        <v>37</v>
      </c>
      <c r="B34" s="115"/>
      <c r="C34" s="20" t="s">
        <v>188</v>
      </c>
      <c r="D34" s="21" t="s">
        <v>189</v>
      </c>
      <c r="E34" s="21" t="s">
        <v>154</v>
      </c>
      <c r="F34" s="21" t="s">
        <v>190</v>
      </c>
      <c r="G34" s="23" t="s">
        <v>95</v>
      </c>
      <c r="H34" s="21" t="s">
        <v>22</v>
      </c>
      <c r="I34" s="21" t="s">
        <v>191</v>
      </c>
      <c r="J34" s="23">
        <v>3</v>
      </c>
      <c r="K34" s="23">
        <f t="shared" si="0"/>
        <v>15</v>
      </c>
      <c r="L34" s="24" t="s">
        <v>24</v>
      </c>
      <c r="M34" s="26">
        <v>1.6E-2</v>
      </c>
      <c r="N34" s="26">
        <f t="shared" si="1"/>
        <v>0.24</v>
      </c>
      <c r="O34" s="32"/>
    </row>
    <row r="35" spans="1:15" ht="15.75" thickBot="1">
      <c r="A35" s="1">
        <v>38</v>
      </c>
      <c r="B35" s="115"/>
      <c r="C35" s="20" t="s">
        <v>192</v>
      </c>
      <c r="D35" s="21" t="s">
        <v>308</v>
      </c>
      <c r="E35" s="21" t="s">
        <v>154</v>
      </c>
      <c r="F35" s="22" t="s">
        <v>193</v>
      </c>
      <c r="G35" s="23" t="s">
        <v>21</v>
      </c>
      <c r="H35" s="23" t="s">
        <v>194</v>
      </c>
      <c r="I35" s="21" t="s">
        <v>195</v>
      </c>
      <c r="J35" s="23">
        <v>1</v>
      </c>
      <c r="K35" s="23">
        <f t="shared" si="0"/>
        <v>5</v>
      </c>
      <c r="L35" s="24" t="s">
        <v>24</v>
      </c>
      <c r="M35" s="26">
        <v>0.1</v>
      </c>
      <c r="N35" s="26">
        <f t="shared" si="1"/>
        <v>0.5</v>
      </c>
      <c r="O35" s="31"/>
    </row>
    <row r="36" spans="1:15" ht="15.75" thickBot="1">
      <c r="A36" s="1">
        <v>39</v>
      </c>
      <c r="B36" s="115"/>
      <c r="C36" s="63" t="s">
        <v>196</v>
      </c>
      <c r="D36" s="21" t="s">
        <v>197</v>
      </c>
      <c r="E36" s="21" t="s">
        <v>154</v>
      </c>
      <c r="F36" s="22" t="s">
        <v>198</v>
      </c>
      <c r="G36" s="21" t="s">
        <v>21</v>
      </c>
      <c r="H36" s="23" t="s">
        <v>199</v>
      </c>
      <c r="I36" s="23" t="s">
        <v>200</v>
      </c>
      <c r="J36" s="23">
        <v>4</v>
      </c>
      <c r="K36" s="23">
        <f t="shared" si="0"/>
        <v>20</v>
      </c>
      <c r="L36" s="24" t="s">
        <v>24</v>
      </c>
      <c r="M36" s="64">
        <v>1.2999999999999999E-2</v>
      </c>
      <c r="N36" s="26">
        <f t="shared" si="1"/>
        <v>0.26</v>
      </c>
      <c r="O36" s="31"/>
    </row>
    <row r="37" spans="1:15" ht="15.75" thickBot="1">
      <c r="A37" s="1">
        <v>40</v>
      </c>
      <c r="B37" s="115"/>
      <c r="C37" s="63" t="s">
        <v>201</v>
      </c>
      <c r="D37" s="21" t="s">
        <v>202</v>
      </c>
      <c r="E37" s="21" t="s">
        <v>203</v>
      </c>
      <c r="F37" s="21" t="s">
        <v>204</v>
      </c>
      <c r="G37" s="21" t="s">
        <v>95</v>
      </c>
      <c r="H37" s="23"/>
      <c r="I37" s="23" t="s">
        <v>205</v>
      </c>
      <c r="J37" s="23">
        <v>1</v>
      </c>
      <c r="K37" s="23">
        <f t="shared" si="0"/>
        <v>5</v>
      </c>
      <c r="L37" s="24" t="s">
        <v>24</v>
      </c>
      <c r="M37" s="64">
        <v>0.1</v>
      </c>
      <c r="N37" s="26">
        <f t="shared" si="1"/>
        <v>0.5</v>
      </c>
      <c r="O37" s="32"/>
    </row>
    <row r="38" spans="1:15" ht="15.75" thickBot="1">
      <c r="A38" s="1">
        <v>43</v>
      </c>
      <c r="B38" s="115"/>
      <c r="C38" s="20" t="s">
        <v>206</v>
      </c>
      <c r="D38" s="21" t="s">
        <v>207</v>
      </c>
      <c r="E38" s="21" t="s">
        <v>154</v>
      </c>
      <c r="F38" s="21" t="s">
        <v>208</v>
      </c>
      <c r="G38" s="23" t="s">
        <v>95</v>
      </c>
      <c r="H38" s="21" t="s">
        <v>22</v>
      </c>
      <c r="I38" s="21" t="s">
        <v>209</v>
      </c>
      <c r="J38" s="23">
        <v>1</v>
      </c>
      <c r="K38" s="23">
        <f t="shared" si="0"/>
        <v>5</v>
      </c>
      <c r="L38" s="24" t="s">
        <v>24</v>
      </c>
      <c r="M38" s="26">
        <v>0.1</v>
      </c>
      <c r="N38" s="26">
        <f t="shared" si="1"/>
        <v>0.5</v>
      </c>
      <c r="O38" s="32"/>
    </row>
    <row r="39" spans="1:15" ht="15.75" thickBot="1">
      <c r="A39" s="1">
        <v>44</v>
      </c>
      <c r="B39" s="115"/>
      <c r="C39" s="20" t="s">
        <v>210</v>
      </c>
      <c r="D39" s="21" t="s">
        <v>211</v>
      </c>
      <c r="E39" s="21" t="s">
        <v>154</v>
      </c>
      <c r="F39" s="21" t="s">
        <v>212</v>
      </c>
      <c r="G39" s="23" t="s">
        <v>95</v>
      </c>
      <c r="H39" s="21" t="s">
        <v>22</v>
      </c>
      <c r="I39" s="21" t="s">
        <v>213</v>
      </c>
      <c r="J39" s="23">
        <v>1</v>
      </c>
      <c r="K39" s="23">
        <f t="shared" si="0"/>
        <v>5</v>
      </c>
      <c r="L39" s="24" t="s">
        <v>24</v>
      </c>
      <c r="M39" s="26">
        <v>0.1</v>
      </c>
      <c r="N39" s="26">
        <f t="shared" si="1"/>
        <v>0.5</v>
      </c>
      <c r="O39" s="32"/>
    </row>
    <row r="40" spans="1:15" ht="15.75" thickBot="1">
      <c r="A40" s="1">
        <v>46</v>
      </c>
      <c r="B40" s="114" t="s">
        <v>214</v>
      </c>
      <c r="C40" s="13" t="s">
        <v>215</v>
      </c>
      <c r="D40" s="14" t="s">
        <v>216</v>
      </c>
      <c r="E40" s="14" t="s">
        <v>217</v>
      </c>
      <c r="F40" s="14" t="s">
        <v>218</v>
      </c>
      <c r="G40" s="15" t="s">
        <v>219</v>
      </c>
      <c r="H40" s="14" t="s">
        <v>22</v>
      </c>
      <c r="I40" s="14" t="s">
        <v>111</v>
      </c>
      <c r="J40" s="15">
        <v>1</v>
      </c>
      <c r="K40" s="15">
        <f t="shared" si="0"/>
        <v>5</v>
      </c>
      <c r="L40" s="16" t="s">
        <v>24</v>
      </c>
      <c r="M40" s="47">
        <v>1.2</v>
      </c>
      <c r="N40" s="47">
        <f t="shared" si="1"/>
        <v>6</v>
      </c>
      <c r="O40" s="61"/>
    </row>
    <row r="41" spans="1:15" ht="15.75" thickBot="1">
      <c r="A41" s="1">
        <v>50</v>
      </c>
      <c r="B41" s="115"/>
      <c r="C41" s="20" t="s">
        <v>221</v>
      </c>
      <c r="D41" s="21" t="s">
        <v>222</v>
      </c>
      <c r="E41" s="21" t="s">
        <v>223</v>
      </c>
      <c r="F41" s="21" t="s">
        <v>224</v>
      </c>
      <c r="G41" s="23" t="s">
        <v>225</v>
      </c>
      <c r="H41" s="21" t="s">
        <v>22</v>
      </c>
      <c r="I41" s="21" t="s">
        <v>111</v>
      </c>
      <c r="J41" s="23">
        <v>1</v>
      </c>
      <c r="K41" s="23">
        <f t="shared" si="0"/>
        <v>5</v>
      </c>
      <c r="L41" s="24" t="s">
        <v>24</v>
      </c>
      <c r="M41" s="26">
        <v>4.2300000000000004</v>
      </c>
      <c r="N41" s="26">
        <f t="shared" si="1"/>
        <v>21.150000000000002</v>
      </c>
      <c r="O41" s="31"/>
    </row>
    <row r="42" spans="1:15" ht="15.75" thickBot="1">
      <c r="A42" s="1">
        <v>51</v>
      </c>
      <c r="B42" s="115"/>
      <c r="C42" s="20" t="s">
        <v>226</v>
      </c>
      <c r="D42" s="21" t="s">
        <v>227</v>
      </c>
      <c r="E42" s="21" t="s">
        <v>228</v>
      </c>
      <c r="F42" s="21" t="s">
        <v>229</v>
      </c>
      <c r="G42" s="23" t="s">
        <v>230</v>
      </c>
      <c r="H42" s="21" t="s">
        <v>22</v>
      </c>
      <c r="I42" s="21" t="s">
        <v>111</v>
      </c>
      <c r="J42" s="23">
        <v>1</v>
      </c>
      <c r="K42" s="23">
        <f t="shared" si="0"/>
        <v>5</v>
      </c>
      <c r="L42" s="24" t="s">
        <v>76</v>
      </c>
      <c r="M42" s="26">
        <v>1.3006</v>
      </c>
      <c r="N42" s="26">
        <f t="shared" si="1"/>
        <v>6.5030000000000001</v>
      </c>
      <c r="O42" s="32"/>
    </row>
    <row r="43" spans="1:15" ht="15.75" thickBot="1">
      <c r="A43" s="1">
        <v>52</v>
      </c>
      <c r="B43" s="115"/>
      <c r="C43" s="20" t="s">
        <v>231</v>
      </c>
      <c r="D43" s="21" t="s">
        <v>232</v>
      </c>
      <c r="E43" s="21" t="s">
        <v>233</v>
      </c>
      <c r="F43" s="21" t="s">
        <v>234</v>
      </c>
      <c r="G43" s="23" t="s">
        <v>230</v>
      </c>
      <c r="H43" s="21" t="s">
        <v>22</v>
      </c>
      <c r="I43" s="21" t="s">
        <v>111</v>
      </c>
      <c r="J43" s="23">
        <v>1</v>
      </c>
      <c r="K43" s="23">
        <f t="shared" si="0"/>
        <v>5</v>
      </c>
      <c r="L43" s="24" t="s">
        <v>24</v>
      </c>
      <c r="M43" s="26">
        <v>2.4</v>
      </c>
      <c r="N43" s="26">
        <f t="shared" si="1"/>
        <v>12</v>
      </c>
      <c r="O43" s="31"/>
    </row>
    <row r="44" spans="1:15" ht="15.75" thickBot="1">
      <c r="A44" s="1">
        <v>53</v>
      </c>
      <c r="B44" s="115"/>
      <c r="C44" s="20" t="s">
        <v>235</v>
      </c>
      <c r="D44" s="21" t="s">
        <v>236</v>
      </c>
      <c r="E44" s="21" t="s">
        <v>220</v>
      </c>
      <c r="F44" s="21" t="s">
        <v>237</v>
      </c>
      <c r="G44" s="23" t="s">
        <v>225</v>
      </c>
      <c r="H44" s="21" t="s">
        <v>22</v>
      </c>
      <c r="I44" s="21" t="s">
        <v>111</v>
      </c>
      <c r="J44" s="23">
        <v>1</v>
      </c>
      <c r="K44" s="23">
        <f t="shared" si="0"/>
        <v>5</v>
      </c>
      <c r="L44" s="24" t="s">
        <v>24</v>
      </c>
      <c r="M44" s="26">
        <v>0.86</v>
      </c>
      <c r="N44" s="26">
        <f t="shared" si="1"/>
        <v>4.3</v>
      </c>
      <c r="O44" s="31"/>
    </row>
    <row r="45" spans="1:15" ht="15.75" thickBot="1">
      <c r="A45" s="1">
        <v>55</v>
      </c>
      <c r="B45" s="116"/>
      <c r="C45" s="49" t="s">
        <v>238</v>
      </c>
      <c r="D45" s="50" t="s">
        <v>239</v>
      </c>
      <c r="E45" s="50" t="s">
        <v>240</v>
      </c>
      <c r="F45" s="81" t="s">
        <v>241</v>
      </c>
      <c r="G45" s="51" t="s">
        <v>242</v>
      </c>
      <c r="H45" s="51" t="s">
        <v>243</v>
      </c>
      <c r="I45" s="50" t="s">
        <v>111</v>
      </c>
      <c r="J45" s="51">
        <v>1</v>
      </c>
      <c r="K45" s="51">
        <f t="shared" si="0"/>
        <v>5</v>
      </c>
      <c r="L45" s="52" t="s">
        <v>24</v>
      </c>
      <c r="M45" s="53">
        <v>1.1499999999999999</v>
      </c>
      <c r="N45" s="53">
        <f t="shared" si="1"/>
        <v>5.75</v>
      </c>
      <c r="O45" s="54"/>
    </row>
    <row r="46" spans="1:15" ht="15.75" thickBot="1">
      <c r="A46" s="1">
        <v>56</v>
      </c>
      <c r="B46" s="117" t="s">
        <v>304</v>
      </c>
      <c r="C46" s="82" t="s">
        <v>244</v>
      </c>
      <c r="D46" s="21" t="s">
        <v>245</v>
      </c>
      <c r="E46" s="21" t="s">
        <v>19</v>
      </c>
      <c r="F46" s="22" t="s">
        <v>246</v>
      </c>
      <c r="G46" s="21" t="s">
        <v>247</v>
      </c>
      <c r="H46" s="23" t="s">
        <v>248</v>
      </c>
      <c r="I46" s="14" t="s">
        <v>111</v>
      </c>
      <c r="J46" s="23">
        <v>1</v>
      </c>
      <c r="K46" s="23">
        <f t="shared" si="0"/>
        <v>5</v>
      </c>
      <c r="L46" s="83" t="s">
        <v>24</v>
      </c>
      <c r="M46" s="64">
        <v>0.47</v>
      </c>
      <c r="N46" s="37">
        <f t="shared" si="1"/>
        <v>2.3499999999999996</v>
      </c>
      <c r="O46" s="84"/>
    </row>
    <row r="47" spans="1:15" ht="15.75" thickBot="1">
      <c r="A47" s="1">
        <v>58</v>
      </c>
      <c r="B47" s="115"/>
      <c r="C47" s="20" t="s">
        <v>249</v>
      </c>
      <c r="D47" s="21" t="s">
        <v>250</v>
      </c>
      <c r="E47" s="21" t="s">
        <v>19</v>
      </c>
      <c r="F47" s="22" t="s">
        <v>251</v>
      </c>
      <c r="G47" s="23" t="s">
        <v>252</v>
      </c>
      <c r="H47" s="23" t="s">
        <v>253</v>
      </c>
      <c r="I47" s="21" t="s">
        <v>111</v>
      </c>
      <c r="J47" s="23">
        <v>1</v>
      </c>
      <c r="K47" s="23">
        <f t="shared" si="0"/>
        <v>5</v>
      </c>
      <c r="L47" s="28" t="s">
        <v>24</v>
      </c>
      <c r="M47" s="26">
        <v>0.35</v>
      </c>
      <c r="N47" s="26">
        <f t="shared" si="1"/>
        <v>1.75</v>
      </c>
      <c r="O47" s="31"/>
    </row>
    <row r="48" spans="1:15" ht="15.75" thickBot="1">
      <c r="A48" s="1">
        <v>59</v>
      </c>
      <c r="B48" s="115"/>
      <c r="C48" s="20" t="s">
        <v>254</v>
      </c>
      <c r="D48" s="21" t="s">
        <v>255</v>
      </c>
      <c r="E48" s="21" t="s">
        <v>19</v>
      </c>
      <c r="F48" s="21" t="s">
        <v>256</v>
      </c>
      <c r="G48" s="23" t="s">
        <v>257</v>
      </c>
      <c r="H48" s="21" t="s">
        <v>22</v>
      </c>
      <c r="I48" s="21" t="s">
        <v>111</v>
      </c>
      <c r="J48" s="23">
        <v>1</v>
      </c>
      <c r="K48" s="23">
        <f t="shared" si="0"/>
        <v>5</v>
      </c>
      <c r="L48" s="24" t="s">
        <v>24</v>
      </c>
      <c r="M48" s="26">
        <v>0.96</v>
      </c>
      <c r="N48" s="26">
        <f t="shared" si="1"/>
        <v>4.8</v>
      </c>
      <c r="O48" s="32"/>
    </row>
    <row r="49" spans="1:15" ht="15.75" thickBot="1">
      <c r="A49" s="1">
        <v>60</v>
      </c>
      <c r="B49" s="115"/>
      <c r="C49" s="20" t="s">
        <v>258</v>
      </c>
      <c r="D49" s="21" t="s">
        <v>259</v>
      </c>
      <c r="E49" s="21" t="s">
        <v>19</v>
      </c>
      <c r="F49" s="22" t="s">
        <v>260</v>
      </c>
      <c r="G49" s="23" t="s">
        <v>19</v>
      </c>
      <c r="H49" s="23" t="s">
        <v>261</v>
      </c>
      <c r="I49" s="21" t="s">
        <v>111</v>
      </c>
      <c r="J49" s="23">
        <v>1</v>
      </c>
      <c r="K49" s="23">
        <f t="shared" si="0"/>
        <v>5</v>
      </c>
      <c r="L49" s="24" t="s">
        <v>24</v>
      </c>
      <c r="M49" s="26">
        <v>0.15</v>
      </c>
      <c r="N49" s="26">
        <f t="shared" si="1"/>
        <v>0.75</v>
      </c>
      <c r="O49" s="32"/>
    </row>
    <row r="50" spans="1:15" ht="15.75" thickBot="1">
      <c r="A50" s="1">
        <v>61</v>
      </c>
      <c r="B50" s="115"/>
      <c r="C50" s="20" t="s">
        <v>262</v>
      </c>
      <c r="D50" s="21" t="s">
        <v>263</v>
      </c>
      <c r="E50" s="21" t="s">
        <v>19</v>
      </c>
      <c r="F50" s="22" t="s">
        <v>264</v>
      </c>
      <c r="G50" s="23" t="s">
        <v>265</v>
      </c>
      <c r="H50" s="23" t="s">
        <v>266</v>
      </c>
      <c r="I50" s="21" t="s">
        <v>111</v>
      </c>
      <c r="J50" s="23">
        <v>1</v>
      </c>
      <c r="K50" s="23">
        <f t="shared" si="0"/>
        <v>5</v>
      </c>
      <c r="L50" s="24" t="s">
        <v>24</v>
      </c>
      <c r="M50" s="26">
        <v>0.45</v>
      </c>
      <c r="N50" s="26">
        <f t="shared" si="1"/>
        <v>2.25</v>
      </c>
      <c r="O50" s="31"/>
    </row>
    <row r="51" spans="1:15" ht="15.75" thickBot="1">
      <c r="A51" s="1">
        <v>62</v>
      </c>
      <c r="B51" s="115"/>
      <c r="C51" s="20" t="s">
        <v>267</v>
      </c>
      <c r="D51" s="21" t="s">
        <v>268</v>
      </c>
      <c r="E51" s="21" t="s">
        <v>19</v>
      </c>
      <c r="F51" s="22" t="s">
        <v>269</v>
      </c>
      <c r="G51" s="23" t="s">
        <v>270</v>
      </c>
      <c r="H51" s="23">
        <v>1715260000</v>
      </c>
      <c r="I51" s="21" t="s">
        <v>111</v>
      </c>
      <c r="J51" s="23">
        <v>1</v>
      </c>
      <c r="K51" s="23">
        <f t="shared" si="0"/>
        <v>5</v>
      </c>
      <c r="L51" s="24" t="s">
        <v>24</v>
      </c>
      <c r="M51" s="26">
        <v>2.13</v>
      </c>
      <c r="N51" s="26">
        <f t="shared" si="1"/>
        <v>10.649999999999999</v>
      </c>
      <c r="O51" s="31"/>
    </row>
    <row r="52" spans="1:15" ht="15.75" thickBot="1">
      <c r="A52" s="1">
        <v>63</v>
      </c>
      <c r="B52" s="115"/>
      <c r="C52" s="20" t="s">
        <v>267</v>
      </c>
      <c r="D52" s="21" t="s">
        <v>271</v>
      </c>
      <c r="E52" s="21" t="s">
        <v>19</v>
      </c>
      <c r="F52" s="22" t="s">
        <v>272</v>
      </c>
      <c r="G52" s="23" t="s">
        <v>270</v>
      </c>
      <c r="H52" s="23">
        <v>1711725</v>
      </c>
      <c r="I52" s="21" t="s">
        <v>111</v>
      </c>
      <c r="J52" s="23">
        <v>2</v>
      </c>
      <c r="K52" s="23">
        <f t="shared" si="0"/>
        <v>10</v>
      </c>
      <c r="L52" s="24" t="s">
        <v>24</v>
      </c>
      <c r="M52" s="26">
        <v>2.1120000000000001</v>
      </c>
      <c r="N52" s="26">
        <f t="shared" si="1"/>
        <v>21.12</v>
      </c>
      <c r="O52" s="31"/>
    </row>
    <row r="53" spans="1:15" ht="15.75" thickBot="1">
      <c r="A53" s="1">
        <v>64</v>
      </c>
      <c r="B53" s="115"/>
      <c r="C53" s="85" t="s">
        <v>273</v>
      </c>
      <c r="D53" s="22" t="s">
        <v>274</v>
      </c>
      <c r="E53" s="22" t="s">
        <v>19</v>
      </c>
      <c r="F53" s="22" t="s">
        <v>275</v>
      </c>
      <c r="G53" s="86" t="s">
        <v>19</v>
      </c>
      <c r="H53" s="22" t="s">
        <v>22</v>
      </c>
      <c r="I53" s="22" t="s">
        <v>111</v>
      </c>
      <c r="J53" s="86">
        <v>1</v>
      </c>
      <c r="K53" s="86">
        <f t="shared" si="0"/>
        <v>5</v>
      </c>
      <c r="L53" s="22" t="s">
        <v>111</v>
      </c>
      <c r="M53" s="22" t="s">
        <v>111</v>
      </c>
      <c r="N53" s="22" t="s">
        <v>111</v>
      </c>
      <c r="O53" s="31"/>
    </row>
    <row r="54" spans="1:15" ht="15.75" thickBot="1">
      <c r="A54" s="1">
        <v>65</v>
      </c>
      <c r="B54" s="115"/>
      <c r="C54" s="85" t="s">
        <v>276</v>
      </c>
      <c r="D54" s="22" t="s">
        <v>277</v>
      </c>
      <c r="E54" s="22" t="s">
        <v>19</v>
      </c>
      <c r="F54" s="22" t="s">
        <v>278</v>
      </c>
      <c r="G54" s="86" t="s">
        <v>19</v>
      </c>
      <c r="H54" s="22" t="s">
        <v>22</v>
      </c>
      <c r="I54" s="22" t="s">
        <v>111</v>
      </c>
      <c r="J54" s="86">
        <v>6</v>
      </c>
      <c r="K54" s="86">
        <f t="shared" ref="K54:K61" si="2">J54*5</f>
        <v>30</v>
      </c>
      <c r="L54" s="22" t="s">
        <v>111</v>
      </c>
      <c r="M54" s="22" t="s">
        <v>111</v>
      </c>
      <c r="N54" s="22" t="s">
        <v>111</v>
      </c>
      <c r="O54" s="31"/>
    </row>
    <row r="55" spans="1:15" ht="15.75" thickBot="1">
      <c r="A55" s="1">
        <v>66</v>
      </c>
      <c r="B55" s="115"/>
      <c r="C55" s="85" t="s">
        <v>279</v>
      </c>
      <c r="D55" s="22" t="s">
        <v>280</v>
      </c>
      <c r="E55" s="22" t="s">
        <v>19</v>
      </c>
      <c r="F55" s="22" t="s">
        <v>281</v>
      </c>
      <c r="G55" s="86" t="s">
        <v>282</v>
      </c>
      <c r="H55" s="87"/>
      <c r="I55" s="22" t="s">
        <v>111</v>
      </c>
      <c r="J55" s="86">
        <v>1</v>
      </c>
      <c r="K55" s="86">
        <f t="shared" si="2"/>
        <v>5</v>
      </c>
      <c r="L55" s="22" t="s">
        <v>111</v>
      </c>
      <c r="M55" s="22" t="s">
        <v>111</v>
      </c>
      <c r="N55" s="22" t="s">
        <v>111</v>
      </c>
      <c r="O55" s="31"/>
    </row>
    <row r="56" spans="1:15" ht="15.75" thickBot="1">
      <c r="A56" s="1">
        <v>67</v>
      </c>
      <c r="B56" s="116"/>
      <c r="C56" s="88" t="s">
        <v>283</v>
      </c>
      <c r="D56" s="22" t="s">
        <v>284</v>
      </c>
      <c r="E56" s="81" t="s">
        <v>19</v>
      </c>
      <c r="F56" s="81" t="s">
        <v>285</v>
      </c>
      <c r="G56" s="89" t="s">
        <v>19</v>
      </c>
      <c r="H56" s="81" t="s">
        <v>22</v>
      </c>
      <c r="I56" s="81" t="s">
        <v>111</v>
      </c>
      <c r="J56" s="89">
        <v>9</v>
      </c>
      <c r="K56" s="89">
        <f t="shared" si="2"/>
        <v>45</v>
      </c>
      <c r="L56" s="81" t="s">
        <v>111</v>
      </c>
      <c r="M56" s="81" t="s">
        <v>111</v>
      </c>
      <c r="N56" s="81" t="s">
        <v>111</v>
      </c>
      <c r="O56" s="90"/>
    </row>
    <row r="57" spans="1:15" ht="15.75" thickBot="1">
      <c r="A57" s="1">
        <v>68</v>
      </c>
      <c r="B57" s="118" t="s">
        <v>286</v>
      </c>
      <c r="C57" s="91" t="s">
        <v>287</v>
      </c>
      <c r="D57" s="71" t="s">
        <v>96</v>
      </c>
      <c r="E57" s="73" t="s">
        <v>19</v>
      </c>
      <c r="F57" s="73" t="s">
        <v>288</v>
      </c>
      <c r="G57" s="73" t="s">
        <v>289</v>
      </c>
      <c r="H57" s="71" t="s">
        <v>96</v>
      </c>
      <c r="I57" s="71" t="s">
        <v>96</v>
      </c>
      <c r="J57" s="73">
        <v>1</v>
      </c>
      <c r="K57" s="73">
        <f t="shared" si="2"/>
        <v>5</v>
      </c>
      <c r="L57" s="92" t="s">
        <v>290</v>
      </c>
      <c r="M57" s="93">
        <v>14</v>
      </c>
      <c r="N57" s="75">
        <f>M57*K57</f>
        <v>70</v>
      </c>
      <c r="O57" s="94"/>
    </row>
    <row r="58" spans="1:15" ht="15.75" thickBot="1">
      <c r="A58" s="1">
        <v>69</v>
      </c>
      <c r="B58" s="119"/>
      <c r="C58" s="95" t="s">
        <v>291</v>
      </c>
      <c r="D58" s="71" t="s">
        <v>96</v>
      </c>
      <c r="E58" s="73" t="s">
        <v>19</v>
      </c>
      <c r="F58" s="96" t="s">
        <v>292</v>
      </c>
      <c r="G58" s="96" t="s">
        <v>293</v>
      </c>
      <c r="H58" s="71" t="s">
        <v>96</v>
      </c>
      <c r="I58" s="71" t="s">
        <v>96</v>
      </c>
      <c r="J58" s="104">
        <v>3</v>
      </c>
      <c r="K58" s="73">
        <f t="shared" si="2"/>
        <v>15</v>
      </c>
      <c r="L58" s="92" t="s">
        <v>290</v>
      </c>
      <c r="M58" s="97">
        <v>3.35</v>
      </c>
      <c r="N58" s="75">
        <f t="shared" ref="N57:N61" si="3">M58*K58</f>
        <v>50.25</v>
      </c>
      <c r="O58" s="108"/>
    </row>
    <row r="59" spans="1:15" ht="15.75" thickBot="1">
      <c r="A59" s="1">
        <v>70</v>
      </c>
      <c r="B59" s="119"/>
      <c r="C59" s="98" t="s">
        <v>294</v>
      </c>
      <c r="D59" s="71" t="s">
        <v>96</v>
      </c>
      <c r="E59" s="73" t="s">
        <v>19</v>
      </c>
      <c r="F59" s="99" t="s">
        <v>295</v>
      </c>
      <c r="G59" s="73" t="s">
        <v>296</v>
      </c>
      <c r="H59" s="71" t="s">
        <v>96</v>
      </c>
      <c r="I59" s="71" t="s">
        <v>96</v>
      </c>
      <c r="J59" s="104">
        <v>1</v>
      </c>
      <c r="K59" s="73">
        <f t="shared" si="2"/>
        <v>5</v>
      </c>
      <c r="L59" s="92" t="s">
        <v>290</v>
      </c>
      <c r="M59" s="100">
        <v>9.8000000000000007</v>
      </c>
      <c r="N59" s="75">
        <f t="shared" si="3"/>
        <v>49</v>
      </c>
      <c r="O59" s="108"/>
    </row>
    <row r="60" spans="1:15" ht="15.75" thickBot="1">
      <c r="A60" s="1">
        <v>71</v>
      </c>
      <c r="B60" s="119"/>
      <c r="C60" s="101" t="s">
        <v>297</v>
      </c>
      <c r="D60" s="71" t="s">
        <v>96</v>
      </c>
      <c r="E60" s="73" t="s">
        <v>19</v>
      </c>
      <c r="F60" s="73" t="s">
        <v>298</v>
      </c>
      <c r="G60" s="71" t="s">
        <v>96</v>
      </c>
      <c r="H60" s="71" t="s">
        <v>309</v>
      </c>
      <c r="I60" s="71" t="s">
        <v>96</v>
      </c>
      <c r="J60" s="104">
        <v>1</v>
      </c>
      <c r="K60" s="73">
        <f t="shared" si="2"/>
        <v>5</v>
      </c>
      <c r="L60" s="102" t="s">
        <v>290</v>
      </c>
      <c r="M60" s="97">
        <v>4.58</v>
      </c>
      <c r="N60" s="75">
        <f t="shared" si="3"/>
        <v>22.9</v>
      </c>
      <c r="O60" s="122" t="s">
        <v>310</v>
      </c>
    </row>
    <row r="61" spans="1:15" ht="15.75" thickBot="1">
      <c r="A61" s="1">
        <v>72</v>
      </c>
      <c r="B61" s="120"/>
      <c r="C61" s="103" t="s">
        <v>299</v>
      </c>
      <c r="D61" s="71" t="s">
        <v>96</v>
      </c>
      <c r="E61" s="73" t="s">
        <v>19</v>
      </c>
      <c r="F61" s="73" t="s">
        <v>300</v>
      </c>
      <c r="G61" s="73" t="s">
        <v>300</v>
      </c>
      <c r="H61" s="71" t="s">
        <v>96</v>
      </c>
      <c r="I61" s="71" t="s">
        <v>96</v>
      </c>
      <c r="J61" s="104">
        <v>1</v>
      </c>
      <c r="K61" s="73">
        <f t="shared" si="2"/>
        <v>5</v>
      </c>
      <c r="L61" s="102" t="s">
        <v>300</v>
      </c>
      <c r="M61" s="105">
        <v>3.95</v>
      </c>
      <c r="N61" s="75">
        <f t="shared" si="3"/>
        <v>19.75</v>
      </c>
      <c r="O61" s="108"/>
    </row>
    <row r="62" spans="1:15" ht="19.5" thickBot="1">
      <c r="A62" s="6"/>
      <c r="B62" s="7"/>
      <c r="C62" s="8"/>
      <c r="D62" s="6"/>
      <c r="E62" s="6"/>
      <c r="F62" s="6"/>
      <c r="G62" s="6"/>
      <c r="H62" s="7"/>
      <c r="I62" s="112" t="s">
        <v>301</v>
      </c>
      <c r="J62" s="112"/>
      <c r="K62" s="112"/>
      <c r="L62" s="112"/>
      <c r="M62" s="10"/>
      <c r="N62" s="9">
        <f>SUM(N3:N61)</f>
        <v>389.52449999999999</v>
      </c>
      <c r="O62" s="7"/>
    </row>
    <row r="63" spans="1:15" ht="18.75">
      <c r="A63" s="6"/>
      <c r="B63" s="7"/>
      <c r="C63" s="8"/>
      <c r="D63" s="6"/>
      <c r="E63" s="6"/>
      <c r="F63" s="6"/>
      <c r="G63" s="6"/>
      <c r="H63" s="7"/>
      <c r="I63" s="113" t="s">
        <v>302</v>
      </c>
      <c r="J63" s="113"/>
      <c r="K63" s="113"/>
      <c r="L63" s="113"/>
      <c r="M63" s="7"/>
      <c r="N63" s="10">
        <f>N62/5</f>
        <v>77.904899999999998</v>
      </c>
      <c r="O63" s="7"/>
    </row>
    <row r="64" spans="1:15" ht="18.75">
      <c r="A64" s="6"/>
      <c r="B64" s="7"/>
      <c r="C64" s="8"/>
      <c r="D64" s="6"/>
      <c r="E64" s="6"/>
      <c r="F64" s="6"/>
      <c r="G64" s="6"/>
      <c r="H64" s="7"/>
      <c r="I64" s="113" t="s">
        <v>303</v>
      </c>
      <c r="J64" s="113"/>
      <c r="K64" s="113"/>
      <c r="L64" s="113"/>
      <c r="M64" s="7"/>
      <c r="N64" s="26">
        <v>88</v>
      </c>
      <c r="O64" s="7"/>
    </row>
    <row r="65" spans="1:15">
      <c r="A65" s="6"/>
      <c r="B65" s="7"/>
      <c r="C65" s="8"/>
      <c r="D65" s="6"/>
      <c r="E65" s="6"/>
      <c r="F65" s="6"/>
      <c r="G65" s="6"/>
      <c r="H65" s="7"/>
      <c r="I65" s="11"/>
      <c r="J65" s="6"/>
      <c r="K65" s="7"/>
      <c r="L65" s="6"/>
      <c r="M65" s="12"/>
      <c r="O65" s="7"/>
    </row>
  </sheetData>
  <mergeCells count="12">
    <mergeCell ref="A1:O1"/>
    <mergeCell ref="I62:L62"/>
    <mergeCell ref="I63:L63"/>
    <mergeCell ref="I64:L64"/>
    <mergeCell ref="B3:B16"/>
    <mergeCell ref="B17:B18"/>
    <mergeCell ref="B20:B22"/>
    <mergeCell ref="B23:B24"/>
    <mergeCell ref="B27:B39"/>
    <mergeCell ref="B40:B45"/>
    <mergeCell ref="B46:B56"/>
    <mergeCell ref="B57:B61"/>
  </mergeCells>
  <conditionalFormatting sqref="J7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7:K1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63">
    <cfRule type="dataBar" priority="2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{0997C886-DED5-48B9-B1CE-7C690BDF5AA0}</x14:id>
        </ext>
      </extLst>
    </cfRule>
  </conditionalFormatting>
  <conditionalFormatting sqref="J3:J10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9:J10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7:J6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7:N61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{C4DCDE22-C4C3-4E18-86E0-AE0957909D63}</x14:id>
        </ext>
      </extLst>
    </cfRule>
  </conditionalFormatting>
  <conditionalFormatting sqref="J11:J16 J18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:J25 J56 J49 J53:J54 J3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3:J29 J56 J49 J39:J41 J53:J54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0 J26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0:J51 J34:J37 J55 J4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2 J3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2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{64D35CED-CB77-4E7D-8609-DD7C9579E340}</x14:id>
        </ext>
      </extLst>
    </cfRule>
  </conditionalFormatting>
  <conditionalFormatting sqref="N6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{603E608C-8C58-42D3-9EDD-50BEF2094DB9}</x14:id>
        </ext>
      </extLst>
    </cfRule>
  </conditionalFormatting>
  <conditionalFormatting sqref="J19:J21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2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7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8:J2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2:J47 J30:J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:N52">
    <cfRule type="dataBar" priority="2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{29C5D989-E8D6-4FA3-89BC-72179293C40F}</x14:id>
        </ext>
      </extLst>
    </cfRule>
  </conditionalFormatting>
  <conditionalFormatting sqref="J3:K3 K18:K61 J4:J6 K4:K16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16 K18:K61"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L3" r:id="rId1" xr:uid="{00000000-0004-0000-0000-000000000000}"/>
    <hyperlink ref="L5" r:id="rId2" xr:uid="{00000000-0004-0000-0000-000001000000}"/>
    <hyperlink ref="L6" r:id="rId3" xr:uid="{00000000-0004-0000-0000-000002000000}"/>
    <hyperlink ref="L7" r:id="rId4" xr:uid="{00000000-0004-0000-0000-000003000000}"/>
    <hyperlink ref="L8" r:id="rId5" xr:uid="{00000000-0004-0000-0000-000004000000}"/>
    <hyperlink ref="L9" r:id="rId6" xr:uid="{00000000-0004-0000-0000-000005000000}"/>
    <hyperlink ref="L10" r:id="rId7" xr:uid="{00000000-0004-0000-0000-000006000000}"/>
    <hyperlink ref="L11" r:id="rId8" xr:uid="{00000000-0004-0000-0000-000007000000}"/>
    <hyperlink ref="L12" r:id="rId9" xr:uid="{00000000-0004-0000-0000-000008000000}"/>
    <hyperlink ref="L13" r:id="rId10" xr:uid="{00000000-0004-0000-0000-000009000000}"/>
    <hyperlink ref="L14" r:id="rId11" xr:uid="{00000000-0004-0000-0000-00000A000000}"/>
    <hyperlink ref="L15" r:id="rId12" xr:uid="{00000000-0004-0000-0000-00000B000000}"/>
    <hyperlink ref="L16" r:id="rId13" xr:uid="{00000000-0004-0000-0000-00000C000000}"/>
    <hyperlink ref="L18" r:id="rId14" xr:uid="{00000000-0004-0000-0000-00000D000000}"/>
    <hyperlink ref="L24" r:id="rId15" xr:uid="{00000000-0004-0000-0000-00000F000000}"/>
    <hyperlink ref="L28" r:id="rId16" xr:uid="{00000000-0004-0000-0000-000010000000}"/>
    <hyperlink ref="L29" r:id="rId17" xr:uid="{00000000-0004-0000-0000-000011000000}"/>
    <hyperlink ref="L30" r:id="rId18" xr:uid="{00000000-0004-0000-0000-000014000000}"/>
    <hyperlink ref="L31" r:id="rId19" xr:uid="{00000000-0004-0000-0000-000015000000}"/>
    <hyperlink ref="L32" r:id="rId20" xr:uid="{00000000-0004-0000-0000-000016000000}"/>
    <hyperlink ref="L33" r:id="rId21" xr:uid="{00000000-0004-0000-0000-000017000000}"/>
    <hyperlink ref="L34" r:id="rId22" xr:uid="{00000000-0004-0000-0000-000018000000}"/>
    <hyperlink ref="L35" r:id="rId23" xr:uid="{00000000-0004-0000-0000-000019000000}"/>
    <hyperlink ref="L38" r:id="rId24" xr:uid="{00000000-0004-0000-0000-00001A000000}"/>
    <hyperlink ref="L39" r:id="rId25" xr:uid="{00000000-0004-0000-0000-00001B000000}"/>
    <hyperlink ref="L42" r:id="rId26" xr:uid="{00000000-0004-0000-0000-00001D000000}"/>
    <hyperlink ref="L45" r:id="rId27" xr:uid="{00000000-0004-0000-0000-00001F000000}"/>
    <hyperlink ref="L48" r:id="rId28" xr:uid="{00000000-0004-0000-0000-000020000000}"/>
    <hyperlink ref="L27" r:id="rId29" xr:uid="{00000000-0004-0000-0000-000021000000}"/>
    <hyperlink ref="L19" r:id="rId30" xr:uid="{00000000-0004-0000-0000-000024000000}"/>
    <hyperlink ref="L20" r:id="rId31" xr:uid="{00000000-0004-0000-0000-000025000000}"/>
    <hyperlink ref="L21" r:id="rId32" xr:uid="{00000000-0004-0000-0000-000027000000}"/>
    <hyperlink ref="L26" r:id="rId33" xr:uid="{00000000-0004-0000-0000-000029000000}"/>
    <hyperlink ref="L40" r:id="rId34" xr:uid="{00000000-0004-0000-0000-00002A000000}"/>
    <hyperlink ref="L4" r:id="rId35" xr:uid="{00000000-0004-0000-0000-00002C000000}"/>
    <hyperlink ref="L25" r:id="rId36" xr:uid="{00000000-0004-0000-0000-00002E000000}"/>
    <hyperlink ref="L41" r:id="rId37" xr:uid="{00000000-0004-0000-0000-000030000000}"/>
    <hyperlink ref="L43" r:id="rId38" xr:uid="{00000000-0004-0000-0000-000031000000}"/>
    <hyperlink ref="L44" r:id="rId39" xr:uid="{00000000-0004-0000-0000-000032000000}"/>
    <hyperlink ref="L47" r:id="rId40" xr:uid="{00000000-0004-0000-0000-000034000000}"/>
    <hyperlink ref="L50" r:id="rId41" xr:uid="{00000000-0004-0000-0000-000035000000}"/>
    <hyperlink ref="L51" r:id="rId42" xr:uid="{00000000-0004-0000-0000-000036000000}"/>
    <hyperlink ref="L52" r:id="rId43" xr:uid="{00000000-0004-0000-0000-000037000000}"/>
    <hyperlink ref="L49" r:id="rId44" xr:uid="{00000000-0004-0000-0000-000038000000}"/>
    <hyperlink ref="L17" r:id="rId45" xr:uid="{00000000-0004-0000-0000-000039000000}"/>
    <hyperlink ref="L36" r:id="rId46" xr:uid="{00000000-0004-0000-0000-00003A000000}"/>
    <hyperlink ref="L37" r:id="rId47" xr:uid="{00000000-0004-0000-0000-00003B000000}"/>
    <hyperlink ref="L46" r:id="rId48" xr:uid="{00000000-0004-0000-0000-00003D000000}"/>
    <hyperlink ref="L61" r:id="rId49" location="technical-details" xr:uid="{00000000-0004-0000-0000-00003F000000}"/>
    <hyperlink ref="L22" r:id="rId50" xr:uid="{00000000-0004-0000-0000-000028000000}"/>
    <hyperlink ref="L23" r:id="rId51" display="Digikey" xr:uid="{00000000-0004-0000-0000-00002D000000}"/>
  </hyperlinks>
  <pageMargins left="0.75" right="0.75" top="1" bottom="1" header="0.5" footer="0.5"/>
  <pageSetup orientation="portrait" r:id="rId5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997C886-DED5-48B9-B1CE-7C690BDF5AA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N63</xm:sqref>
        </x14:conditionalFormatting>
        <x14:conditionalFormatting xmlns:xm="http://schemas.microsoft.com/office/excel/2006/main">
          <x14:cfRule type="dataBar" id="{C4DCDE22-C4C3-4E18-86E0-AE0957909D6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N57:N61</xm:sqref>
        </x14:conditionalFormatting>
        <x14:conditionalFormatting xmlns:xm="http://schemas.microsoft.com/office/excel/2006/main">
          <x14:cfRule type="dataBar" id="{64D35CED-CB77-4E7D-8609-DD7C9579E34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M62</xm:sqref>
        </x14:conditionalFormatting>
        <x14:conditionalFormatting xmlns:xm="http://schemas.microsoft.com/office/excel/2006/main">
          <x14:cfRule type="dataBar" id="{603E608C-8C58-42D3-9EDD-50BEF2094DB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N64</xm:sqref>
        </x14:conditionalFormatting>
        <x14:conditionalFormatting xmlns:xm="http://schemas.microsoft.com/office/excel/2006/main">
          <x14:cfRule type="dataBar" id="{29C5D989-E8D6-4FA3-89BC-72179293C40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user</cp:lastModifiedBy>
  <dcterms:created xsi:type="dcterms:W3CDTF">2022-03-17T08:37:00Z</dcterms:created>
  <dcterms:modified xsi:type="dcterms:W3CDTF">2022-03-30T08:00:12Z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DF06A69AC1CD47A1ADBC8B615838DCEA</vt:lpwstr>
  </property>
  <property fmtid="{D5CDD505-2E9C-101B-9397-08002B2CF9AE}" pid="3" name="KSOProductBuildVer">
    <vt:lpwstr>1033-11.2.0.11029</vt:lpwstr>
  </property>
</Properties>
</file>