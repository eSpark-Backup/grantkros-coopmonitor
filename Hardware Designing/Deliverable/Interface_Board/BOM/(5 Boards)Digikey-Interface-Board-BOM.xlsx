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GrantKros-CoopMonitor\Deliverable\Interface_Board\BOM\"/>
    </mc:Choice>
  </mc:AlternateContent>
  <xr:revisionPtr revIDLastSave="0" documentId="13_ncr:1_{2259E5FF-C5BF-4D02-BD9C-6730B29894D4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Interface Board 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1" l="1"/>
  <c r="K11" i="1"/>
  <c r="N11" i="1" s="1"/>
  <c r="K10" i="1"/>
  <c r="N10" i="1" s="1"/>
  <c r="K9" i="1"/>
  <c r="N9" i="1" s="1"/>
  <c r="K8" i="1"/>
  <c r="N8" i="1" s="1"/>
  <c r="K7" i="1"/>
  <c r="N7" i="1" s="1"/>
  <c r="K6" i="1"/>
  <c r="N6" i="1" s="1"/>
  <c r="K5" i="1"/>
  <c r="N5" i="1" s="1"/>
  <c r="K4" i="1"/>
  <c r="N4" i="1" s="1"/>
  <c r="K3" i="1"/>
  <c r="N3" i="1" s="1"/>
  <c r="N13" i="1" l="1"/>
</calcChain>
</file>

<file path=xl/sharedStrings.xml><?xml version="1.0" encoding="utf-8"?>
<sst xmlns="http://schemas.openxmlformats.org/spreadsheetml/2006/main" count="94" uniqueCount="73">
  <si>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</si>
  <si>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</si>
  <si>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</si>
  <si>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</si>
  <si>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</si>
  <si>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</si>
  <si>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</si>
  <si>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</si>
  <si>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</si>
  <si>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</si>
  <si>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</si>
  <si>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</si>
  <si>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</si>
  <si>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</si>
  <si>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</si>
  <si>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</si>
  <si>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CER 0.1UF 16V X7R 0402</t>
  </si>
  <si>
    <t>C1, C2, C3, C4, C35</t>
  </si>
  <si>
    <t>Cap 0402</t>
  </si>
  <si>
    <t>CC0402KRX7R7BB104</t>
  </si>
  <si>
    <t>Yageo</t>
  </si>
  <si>
    <t>-------</t>
  </si>
  <si>
    <t>0.1uF</t>
  </si>
  <si>
    <t>Digikey</t>
  </si>
  <si>
    <t>CAP CER 1UF 25V X5R 0402</t>
  </si>
  <si>
    <t>C28, C32</t>
  </si>
  <si>
    <t>GRM155R61E105KA12D</t>
  </si>
  <si>
    <t>Murata</t>
  </si>
  <si>
    <t>1uF</t>
  </si>
  <si>
    <t>CAP CER 2.2UF 16V X5R 0402</t>
  </si>
  <si>
    <t>C33</t>
  </si>
  <si>
    <t>EMK105ABJ225KV-F</t>
  </si>
  <si>
    <t>Taiyo Yuden</t>
  </si>
  <si>
    <t>2.2uF</t>
  </si>
  <si>
    <t>CAP CER 4.7UF 25V X5R 0603</t>
  </si>
  <si>
    <t>C34</t>
  </si>
  <si>
    <t>Cap 0603</t>
  </si>
  <si>
    <t>CL10A475KA8NQNC</t>
  </si>
  <si>
    <t>Samsung</t>
  </si>
  <si>
    <t>4.7uF</t>
  </si>
  <si>
    <t>Switch</t>
  </si>
  <si>
    <t>No NO 50mA 12mm 100mΩ 200000 260gf 12V -30℃~+85℃ 12mm 5mm Black Round Button Brick nogging SPST SMD Tactile Switches ROHS</t>
  </si>
  <si>
    <t>SW1, SW2, SW3, SW4</t>
  </si>
  <si>
    <t>Custom</t>
  </si>
  <si>
    <t>TS-1103S-C-C</t>
  </si>
  <si>
    <t>XKB</t>
  </si>
  <si>
    <t>Resistor</t>
  </si>
  <si>
    <t>4.7K ±5% 1/16W ±200ppm/°C 0402 Chip Resistor - Surface Mount RoHS</t>
  </si>
  <si>
    <t>R21, R22, R27</t>
  </si>
  <si>
    <t>Res0402</t>
  </si>
  <si>
    <t>CR0402JF0472G</t>
  </si>
  <si>
    <t>LIZ Elec</t>
  </si>
  <si>
    <t>RC0402FR-074K7L</t>
  </si>
  <si>
    <t>4.7K</t>
  </si>
  <si>
    <t>±1% 1/10W Thick Film Resistors 75V ±100ppm/℃ -55℃~+155℃ 910kΩ 0603 Chip Resistor - Surface Mount ROHS</t>
  </si>
  <si>
    <t>R23</t>
  </si>
  <si>
    <t>Res0603</t>
  </si>
  <si>
    <t>0603WAF9103T5E</t>
  </si>
  <si>
    <t>UNI-ROYAL</t>
  </si>
  <si>
    <t>RC0603JR-07910KL</t>
  </si>
  <si>
    <t>910K</t>
  </si>
  <si>
    <t>CONN HEADER VERT 10POS 2.54MM</t>
  </si>
  <si>
    <t>P1</t>
  </si>
  <si>
    <t>M20-9991045</t>
  </si>
  <si>
    <t>Harwin</t>
  </si>
  <si>
    <t>FPC Connector 0.5mm pitch 24pin 30pin TOP&amp;bottom conduction Zif Smt Lcd/epaper Fpc Ffc Connector</t>
  </si>
  <si>
    <t>J1</t>
  </si>
  <si>
    <t>8.02A0.024200</t>
  </si>
  <si>
    <t>Custom Supplier</t>
  </si>
  <si>
    <t xml:space="preserve">Total Component Cost </t>
  </si>
  <si>
    <t>Single Board Cost</t>
  </si>
  <si>
    <t>Connector</t>
  </si>
  <si>
    <t>Bill of Material (BOM) for Grant Interface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</si>
</sst>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_);[Red]\(&quot;$&quot;#,##0.0000\)"/>
  </numFmts>
  <fonts count="12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scheme val="minor"/>
    </font>
    <font>
      <sz val="10"/>
      <color theme="1"/>
      <name val="Calibri"/>
      <family val="2"/>
      <scheme val="minor"/>
    </font>
    <font>
      <u/>
      <sz val="10"/>
      <color rgb="FF80008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6" fillId="0" borderId="7" xfId="0" quotePrefix="1" applyFont="1" applyFill="1" applyBorder="1" applyAlignment="1">
      <alignment horizontal="left" vertical="center"/>
    </xf>
    <xf numFmtId="0" fontId="6" fillId="0" borderId="8" xfId="0" quotePrefix="1" applyFont="1" applyFill="1" applyBorder="1" applyAlignment="1">
      <alignment horizontal="center" vertical="center"/>
    </xf>
    <xf numFmtId="0" fontId="6" fillId="0" borderId="9" xfId="0" quotePrefix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1" xfId="0" quotePrefix="1" applyFont="1" applyFill="1" applyBorder="1" applyAlignment="1">
      <alignment horizontal="left" vertical="center"/>
    </xf>
    <xf numFmtId="0" fontId="6" fillId="0" borderId="12" xfId="0" quotePrefix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4" xfId="0" quotePrefix="1" applyFont="1" applyFill="1" applyBorder="1" applyAlignment="1">
      <alignment horizontal="left" vertical="center"/>
    </xf>
    <xf numFmtId="0" fontId="6" fillId="0" borderId="15" xfId="0" quotePrefix="1" applyFont="1" applyFill="1" applyBorder="1" applyAlignment="1">
      <alignment horizontal="center" vertical="center"/>
    </xf>
    <xf numFmtId="0" fontId="6" fillId="0" borderId="16" xfId="0" quotePrefix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7" xfId="0" quotePrefix="1" applyFont="1" applyFill="1" applyBorder="1" applyAlignment="1">
      <alignment horizontal="left" vertical="center" wrapText="1"/>
    </xf>
    <xf numFmtId="0" fontId="6" fillId="0" borderId="18" xfId="0" quotePrefix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9" fillId="0" borderId="8" xfId="0" quotePrefix="1" applyFont="1" applyFill="1" applyBorder="1" applyAlignment="1">
      <alignment horizontal="center" vertical="center"/>
    </xf>
    <xf numFmtId="0" fontId="6" fillId="0" borderId="14" xfId="0" quotePrefix="1" applyFont="1" applyFill="1" applyBorder="1" applyAlignment="1">
      <alignment horizontal="left" vertical="center" wrapText="1"/>
    </xf>
    <xf numFmtId="0" fontId="9" fillId="0" borderId="15" xfId="0" quotePrefix="1" applyFont="1" applyFill="1" applyBorder="1" applyAlignment="1">
      <alignment horizontal="center" vertical="center"/>
    </xf>
    <xf numFmtId="0" fontId="6" fillId="0" borderId="20" xfId="0" quotePrefix="1" applyFont="1" applyFill="1" applyBorder="1" applyAlignment="1">
      <alignment horizontal="left" vertical="center"/>
    </xf>
    <xf numFmtId="0" fontId="6" fillId="0" borderId="21" xfId="0" quotePrefix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0" fillId="0" borderId="8" xfId="0" quotePrefix="1" applyFont="1" applyFill="1" applyBorder="1" applyAlignment="1">
      <alignment horizontal="center" vertical="center"/>
    </xf>
    <xf numFmtId="0" fontId="10" fillId="0" borderId="12" xfId="0" quotePrefix="1" applyFont="1" applyFill="1" applyBorder="1" applyAlignment="1">
      <alignment horizontal="center" vertical="center"/>
    </xf>
    <xf numFmtId="0" fontId="10" fillId="0" borderId="15" xfId="0" quotePrefix="1" applyFont="1" applyFill="1" applyBorder="1" applyAlignment="1">
      <alignment horizontal="center" vertical="center"/>
    </xf>
    <xf numFmtId="0" fontId="10" fillId="0" borderId="21" xfId="0" quotePrefix="1" applyFont="1" applyFill="1" applyBorder="1" applyAlignment="1">
      <alignment horizontal="center" vertical="center"/>
    </xf>
    <xf numFmtId="0" fontId="10" fillId="0" borderId="18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%C3%BCrth-elektronik/430162043826/9950802" TargetMode="External"/><Relationship Id="rId3" Type="http://schemas.openxmlformats.org/officeDocument/2006/relationships/hyperlink" Target="https://www.digikey.com/en/products/detail/taiyo-yuden/EMK105ABJ225KV-F/7403764?s=N4IgTCBcDaIKIFkDSBGADAVgIICEBSYYGSAagLQBiIAugL5A" TargetMode="External"/><Relationship Id="rId7" Type="http://schemas.openxmlformats.org/officeDocument/2006/relationships/hyperlink" Target="https://www.digikey.com/en/products/detail/yageo/RC0603JR-07910KL/726839" TargetMode="External"/><Relationship Id="rId2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1" Type="http://schemas.openxmlformats.org/officeDocument/2006/relationships/hyperlink" Target="https://www.digikey.com/en/products/detail/yageo/CC0402KRX7R7BB104/2103076?s=N4IgTCBcDaIMJwAwBZFgNICUAaB2TuAQoQIwogC6AvkA" TargetMode="External"/><Relationship Id="rId6" Type="http://schemas.openxmlformats.org/officeDocument/2006/relationships/hyperlink" Target="https://www.digikey.com/en/products/detail/yageo/RC0402FR-074K7L/2827563" TargetMode="External"/><Relationship Id="rId5" Type="http://schemas.openxmlformats.org/officeDocument/2006/relationships/hyperlink" Target="https://www.digikey.com/en/products/detail/harwin-inc/M20-9991045/3727809?s=N4IgTCBcDaILJgAwFoCc6CMiAsBWEAugL5A" TargetMode="External"/><Relationship Id="rId4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selection activeCell="C19" sqref="C19"/>
    </sheetView>
  </sheetViews>
  <sheetFormatPr defaultColWidth="9.140625" defaultRowHeight="15"/>
  <cols>
    <col min="1" max="1" width="6.140625" bestFit="1" customWidth="1"/>
    <col min="2" max="2" width="13.140625" customWidth="1"/>
    <col min="3" max="3" width="79.140625" bestFit="1" customWidth="1"/>
    <col min="4" max="4" width="21.28515625" customWidth="1"/>
    <col min="5" max="5" width="20" customWidth="1"/>
    <col min="6" max="6" width="27.28515625" customWidth="1"/>
    <col min="7" max="7" width="14.140625" customWidth="1"/>
    <col min="8" max="8" width="17.28515625" customWidth="1"/>
    <col min="9" max="9" width="14.42578125" customWidth="1"/>
    <col min="10" max="10" width="18.28515625" customWidth="1"/>
    <col min="11" max="11" width="10.85546875" customWidth="1"/>
    <col min="12" max="12" width="15" customWidth="1"/>
    <col min="13" max="13" width="12.42578125" customWidth="1"/>
    <col min="14" max="14" width="13" customWidth="1"/>
    <col min="15" max="15" width="24" customWidth="1"/>
  </cols>
  <sheetData>
    <row r="1" spans="1:15" ht="15.75">
      <c r="A1" s="62" t="s">
        <v>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6" t="s">
        <v>11</v>
      </c>
      <c r="M2" s="3" t="s">
        <v>12</v>
      </c>
      <c r="N2" s="3" t="s">
        <v>13</v>
      </c>
      <c r="O2" s="3" t="s">
        <v>14</v>
      </c>
    </row>
    <row r="3" spans="1:15">
      <c r="A3" s="4">
        <v>1</v>
      </c>
      <c r="B3" s="53" t="s">
        <v>15</v>
      </c>
      <c r="C3" s="8" t="s">
        <v>16</v>
      </c>
      <c r="D3" s="57" t="s">
        <v>17</v>
      </c>
      <c r="E3" s="9" t="s">
        <v>18</v>
      </c>
      <c r="F3" s="9" t="s">
        <v>19</v>
      </c>
      <c r="G3" s="10" t="s">
        <v>20</v>
      </c>
      <c r="H3" s="10" t="s">
        <v>21</v>
      </c>
      <c r="I3" s="9" t="s">
        <v>22</v>
      </c>
      <c r="J3" s="11">
        <v>5</v>
      </c>
      <c r="K3" s="12">
        <f>J3*5</f>
        <v>25</v>
      </c>
      <c r="L3" s="13" t="s">
        <v>23</v>
      </c>
      <c r="M3" s="14">
        <v>2.9000000000000001E-2</v>
      </c>
      <c r="N3" s="14">
        <f>M3*K3</f>
        <v>0.72500000000000009</v>
      </c>
      <c r="O3" s="15"/>
    </row>
    <row r="4" spans="1:15">
      <c r="A4" s="4">
        <v>2</v>
      </c>
      <c r="B4" s="54"/>
      <c r="C4" s="16" t="s">
        <v>24</v>
      </c>
      <c r="D4" s="58" t="s">
        <v>25</v>
      </c>
      <c r="E4" s="17" t="s">
        <v>18</v>
      </c>
      <c r="F4" s="17" t="s">
        <v>26</v>
      </c>
      <c r="G4" s="17" t="s">
        <v>27</v>
      </c>
      <c r="H4" s="17" t="s">
        <v>21</v>
      </c>
      <c r="I4" s="17" t="s">
        <v>28</v>
      </c>
      <c r="J4" s="18">
        <v>2</v>
      </c>
      <c r="K4" s="19">
        <f t="shared" ref="K4:K11" si="0">J4*5</f>
        <v>10</v>
      </c>
      <c r="L4" s="20" t="s">
        <v>23</v>
      </c>
      <c r="M4" s="21">
        <v>0.08</v>
      </c>
      <c r="N4" s="21">
        <f t="shared" ref="N4:N11" si="1">M4*K4</f>
        <v>0.8</v>
      </c>
      <c r="O4" s="22"/>
    </row>
    <row r="5" spans="1:15">
      <c r="A5" s="4">
        <v>3</v>
      </c>
      <c r="B5" s="54"/>
      <c r="C5" s="16" t="s">
        <v>29</v>
      </c>
      <c r="D5" s="58" t="s">
        <v>30</v>
      </c>
      <c r="E5" s="17" t="s">
        <v>18</v>
      </c>
      <c r="F5" s="17" t="s">
        <v>31</v>
      </c>
      <c r="G5" s="17" t="s">
        <v>32</v>
      </c>
      <c r="H5" s="17" t="s">
        <v>21</v>
      </c>
      <c r="I5" s="17" t="s">
        <v>33</v>
      </c>
      <c r="J5" s="18">
        <v>1</v>
      </c>
      <c r="K5" s="19">
        <f t="shared" si="0"/>
        <v>5</v>
      </c>
      <c r="L5" s="20" t="s">
        <v>23</v>
      </c>
      <c r="M5" s="21">
        <v>0.156</v>
      </c>
      <c r="N5" s="21">
        <f t="shared" si="1"/>
        <v>0.78</v>
      </c>
      <c r="O5" s="22"/>
    </row>
    <row r="6" spans="1:15">
      <c r="A6" s="4">
        <v>4</v>
      </c>
      <c r="B6" s="55"/>
      <c r="C6" s="23" t="s">
        <v>34</v>
      </c>
      <c r="D6" s="59" t="s">
        <v>35</v>
      </c>
      <c r="E6" s="24" t="s">
        <v>36</v>
      </c>
      <c r="F6" s="24" t="s">
        <v>37</v>
      </c>
      <c r="G6" s="25" t="s">
        <v>38</v>
      </c>
      <c r="H6" s="25" t="s">
        <v>21</v>
      </c>
      <c r="I6" s="24" t="s">
        <v>39</v>
      </c>
      <c r="J6" s="26">
        <v>1</v>
      </c>
      <c r="K6" s="27">
        <f t="shared" si="0"/>
        <v>5</v>
      </c>
      <c r="L6" s="28" t="s">
        <v>23</v>
      </c>
      <c r="M6" s="29">
        <v>0.38</v>
      </c>
      <c r="N6" s="29">
        <f t="shared" si="1"/>
        <v>1.9</v>
      </c>
      <c r="O6" s="30"/>
    </row>
    <row r="7" spans="1:15" ht="25.5">
      <c r="A7" s="4">
        <v>5</v>
      </c>
      <c r="B7" s="5" t="s">
        <v>40</v>
      </c>
      <c r="C7" s="31" t="s">
        <v>41</v>
      </c>
      <c r="D7" s="61" t="s">
        <v>42</v>
      </c>
      <c r="E7" s="33" t="s">
        <v>43</v>
      </c>
      <c r="F7" s="32" t="s">
        <v>44</v>
      </c>
      <c r="G7" s="32" t="s">
        <v>45</v>
      </c>
      <c r="H7" s="32" t="s">
        <v>21</v>
      </c>
      <c r="I7" s="32" t="s">
        <v>21</v>
      </c>
      <c r="J7" s="33">
        <v>4</v>
      </c>
      <c r="K7" s="34">
        <f t="shared" si="0"/>
        <v>20</v>
      </c>
      <c r="L7" s="47" t="s">
        <v>23</v>
      </c>
      <c r="M7" s="48">
        <v>0.48599999999999999</v>
      </c>
      <c r="N7" s="29">
        <f t="shared" si="1"/>
        <v>9.7199999999999989</v>
      </c>
      <c r="O7" s="35"/>
    </row>
    <row r="8" spans="1:15" s="1" customFormat="1">
      <c r="A8" s="4">
        <v>6</v>
      </c>
      <c r="B8" s="53" t="s">
        <v>46</v>
      </c>
      <c r="C8" s="8" t="s">
        <v>47</v>
      </c>
      <c r="D8" s="57" t="s">
        <v>48</v>
      </c>
      <c r="E8" s="9" t="s">
        <v>49</v>
      </c>
      <c r="F8" s="36" t="s">
        <v>50</v>
      </c>
      <c r="G8" s="9" t="s">
        <v>51</v>
      </c>
      <c r="H8" s="11" t="s">
        <v>52</v>
      </c>
      <c r="I8" s="9" t="s">
        <v>53</v>
      </c>
      <c r="J8" s="11">
        <v>3</v>
      </c>
      <c r="K8" s="12">
        <f t="shared" si="0"/>
        <v>15</v>
      </c>
      <c r="L8" s="13" t="s">
        <v>23</v>
      </c>
      <c r="M8" s="14">
        <v>1.6E-2</v>
      </c>
      <c r="N8" s="14">
        <f t="shared" si="1"/>
        <v>0.24</v>
      </c>
      <c r="O8" s="15"/>
    </row>
    <row r="9" spans="1:15" ht="25.5">
      <c r="A9" s="4">
        <v>7</v>
      </c>
      <c r="B9" s="55"/>
      <c r="C9" s="37" t="s">
        <v>54</v>
      </c>
      <c r="D9" s="59" t="s">
        <v>55</v>
      </c>
      <c r="E9" s="24" t="s">
        <v>56</v>
      </c>
      <c r="F9" s="38" t="s">
        <v>57</v>
      </c>
      <c r="G9" s="24" t="s">
        <v>58</v>
      </c>
      <c r="H9" s="26" t="s">
        <v>59</v>
      </c>
      <c r="I9" s="24" t="s">
        <v>60</v>
      </c>
      <c r="J9" s="26">
        <v>1</v>
      </c>
      <c r="K9" s="27">
        <f t="shared" si="0"/>
        <v>5</v>
      </c>
      <c r="L9" s="28" t="s">
        <v>23</v>
      </c>
      <c r="M9" s="29">
        <v>0.1</v>
      </c>
      <c r="N9" s="29">
        <f t="shared" si="1"/>
        <v>0.5</v>
      </c>
      <c r="O9" s="30"/>
    </row>
    <row r="10" spans="1:15">
      <c r="A10" s="4">
        <v>8</v>
      </c>
      <c r="B10" s="56" t="s">
        <v>71</v>
      </c>
      <c r="C10" s="39" t="s">
        <v>61</v>
      </c>
      <c r="D10" s="60" t="s">
        <v>62</v>
      </c>
      <c r="E10" s="41" t="s">
        <v>43</v>
      </c>
      <c r="F10" s="40" t="s">
        <v>63</v>
      </c>
      <c r="G10" s="40" t="s">
        <v>64</v>
      </c>
      <c r="H10" s="40" t="s">
        <v>21</v>
      </c>
      <c r="I10" s="40" t="s">
        <v>21</v>
      </c>
      <c r="J10" s="41">
        <v>1</v>
      </c>
      <c r="K10" s="42">
        <f t="shared" si="0"/>
        <v>5</v>
      </c>
      <c r="L10" s="43" t="s">
        <v>23</v>
      </c>
      <c r="M10" s="44">
        <v>0.46</v>
      </c>
      <c r="N10" s="44">
        <f t="shared" si="1"/>
        <v>2.3000000000000003</v>
      </c>
      <c r="O10" s="45"/>
    </row>
    <row r="11" spans="1:15" ht="25.5">
      <c r="A11" s="4">
        <v>9</v>
      </c>
      <c r="B11" s="55"/>
      <c r="C11" s="37" t="s">
        <v>65</v>
      </c>
      <c r="D11" s="59" t="s">
        <v>66</v>
      </c>
      <c r="E11" s="26" t="s">
        <v>43</v>
      </c>
      <c r="F11" s="24" t="s">
        <v>67</v>
      </c>
      <c r="G11" s="25" t="s">
        <v>21</v>
      </c>
      <c r="H11" s="25" t="s">
        <v>21</v>
      </c>
      <c r="I11" s="25" t="s">
        <v>21</v>
      </c>
      <c r="J11" s="26">
        <v>1</v>
      </c>
      <c r="K11" s="27">
        <f t="shared" si="0"/>
        <v>5</v>
      </c>
      <c r="L11" s="46" t="s">
        <v>68</v>
      </c>
      <c r="M11" s="29">
        <v>1.1499999999999999</v>
      </c>
      <c r="N11" s="29">
        <f t="shared" si="1"/>
        <v>5.75</v>
      </c>
      <c r="O11" s="30"/>
    </row>
    <row r="12" spans="1:15" ht="18.75">
      <c r="G12" s="51" t="s">
        <v>69</v>
      </c>
      <c r="H12" s="51"/>
      <c r="I12" s="51"/>
      <c r="J12" s="51"/>
      <c r="K12" s="51"/>
      <c r="L12" s="51"/>
      <c r="N12" s="7">
        <f>SUM(N3:N11)</f>
        <v>22.715</v>
      </c>
    </row>
    <row r="13" spans="1:15" ht="18.75">
      <c r="G13" s="52" t="s">
        <v>70</v>
      </c>
      <c r="H13" s="52"/>
      <c r="I13" s="52"/>
      <c r="J13" s="52"/>
      <c r="K13" s="52"/>
      <c r="L13" s="52"/>
      <c r="N13" s="7">
        <f>N12/5</f>
        <v>4.5430000000000001</v>
      </c>
    </row>
  </sheetData>
  <mergeCells count="6">
    <mergeCell ref="A1:O1"/>
    <mergeCell ref="G12:L12"/>
    <mergeCell ref="G13:L13"/>
    <mergeCell ref="B3:B6"/>
    <mergeCell ref="B8:B9"/>
    <mergeCell ref="B10:B11"/>
  </mergeCells>
  <conditionalFormatting sqref="N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{8075F51B-85FE-4B82-99A4-F8B9281869D4}</x14:id>
        </ext>
      </extLst>
    </cfRule>
  </conditionalFormatting>
  <conditionalFormatting sqref="N3:N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{15D60AC5-9B89-492C-8909-06C2B35856DC}</x14:id>
        </ext>
      </extLst>
    </cfRule>
  </conditionalFormatting>
  <conditionalFormatting sqref="J3:K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10" r:id="rId5" xr:uid="{00000000-0004-0000-0000-000004000000}"/>
    <hyperlink ref="L8" r:id="rId6" xr:uid="{00000000-0004-0000-0000-000005000000}"/>
    <hyperlink ref="L9" r:id="rId7" xr:uid="{00000000-0004-0000-0000-000006000000}"/>
    <hyperlink ref="L7" r:id="rId8" xr:uid="{00000000-0004-0000-0000-000007000000}"/>
  </hyperlinks>
  <pageMargins left="0.75" right="0.75" top="1" bottom="1" header="0.5" footer="0.5"/>
  <pageSetup orientation="portrait"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5F51B-85FE-4B82-99A4-F8B928186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15D60AC5-9B89-492C-8909-06C2B3585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 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2022-03-16T14:26:00Z</dcterms:created>
  <dcterms:modified xsi:type="dcterms:W3CDTF">2022-04-04T08:35:14Z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5BAC6B7B63754BDEA88C017011FF92D9</vt:lpwstr>
  </property>
  <property fmtid="{D5CDD505-2E9C-101B-9397-08002B2CF9AE}" pid="3" name="KSOProductBuildVer">
    <vt:lpwstr>1033-11.2.0.11029</vt:lpwstr>
  </property>
</Properties>
</file>